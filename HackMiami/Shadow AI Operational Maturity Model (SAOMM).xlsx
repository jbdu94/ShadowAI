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6.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_TO_USE" sheetId="1" state="visible" r:id="rId3"/>
    <sheet name="Reports" sheetId="2" state="visible" r:id="rId4"/>
    <sheet name="Governance" sheetId="3" state="visible" r:id="rId5"/>
    <sheet name="Strategy" sheetId="4" state="visible" r:id="rId6"/>
    <sheet name="Organization" sheetId="5" state="visible" r:id="rId7"/>
    <sheet name="Detection" sheetId="6" state="visible" r:id="rId8"/>
    <sheet name="Monitoring" sheetId="7" state="visible" r:id="rId9"/>
    <sheet name="Incident Response" sheetId="8" state="visible" r:id="rId10"/>
    <sheet name="MLOPS" sheetId="9" state="visible" r:id="rId11"/>
    <sheet name="Deployment" sheetId="10" state="visible" r:id="rId12"/>
    <sheet name="Infrastructure" sheetId="11" state="visible" r:id="rId13"/>
    <sheet name="Resources" sheetId="12" state="visible" r:id="rId14"/>
    <sheet name="Data Security" sheetId="13" state="visible" r:id="rId15"/>
    <sheet name="Model Security" sheetId="14" state="visible" r:id="rId16"/>
    <sheet name="LLM Security" sheetId="15" state="visible" r:id="rId17"/>
    <sheet name="Agent Security" sheetId="16" state="visible" r:id="rId18"/>
    <sheet name="LLM-Agent Guardrails" sheetId="17" state="visible" r:id="rId19"/>
    <sheet name="ATLAS Tactics Coverage" sheetId="18" state="visible" r:id="rId20"/>
    <sheet name="ATLAS Mitigations Coverage" sheetId="19" state="visible" r:id="rId21"/>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<sst xmlns="http://schemas.openxmlformats.org/spreadsheetml/2006/main" count="2416" uniqueCount="1071">
  <si>
    <t xml:space="preserve">Shadow AI Operational Maturity Model (SAOMM)</t>
  </si>
  <si>
    <t xml:space="preserve">1. Scope of This Document</t>
  </si>
  <si>
    <t xml:space="preserve">This condensed model provides a unified, enterprise‑ready view of AI governance, security, and operational maturity. It consolidates the most authoritative frameworks in the industry into a single, structured assessment model. The document covers:</t>
  </si>
  <si>
    <t xml:space="preserve">AI Governance &amp; Responsible AI</t>
  </si>
  <si>
    <t xml:space="preserve">AI Strategy, Organization &amp; Resourcing</t>
  </si>
  <si>
    <t xml:space="preserve">Data Security &amp; Model Security</t>
  </si>
  <si>
    <t xml:space="preserve">LLM Security &amp; Agentic AI Security</t>
  </si>
  <si>
    <t xml:space="preserve">Monitoring, Detection &amp; Observability</t>
  </si>
  <si>
    <t xml:space="preserve">MLOps, Deployment &amp; Infrastructure Security</t>
  </si>
  <si>
    <t xml:space="preserve">MITRE ATLAS Tactics (Condensed)</t>
  </si>
  <si>
    <t xml:space="preserve">MITRE ATLAS Mitigations (Condensed)</t>
  </si>
  <si>
    <t xml:space="preserve">Each control includes five maturity levels (Level 5 → Level 1), with descriptions and examples to support consistent scoring across teams.</t>
  </si>
  <si>
    <t xml:space="preserve">Shadow AI Operational Domains</t>
  </si>
  <si>
    <t xml:space="preserve">Domain</t>
  </si>
  <si>
    <t xml:space="preserve">Operational Focus</t>
  </si>
  <si>
    <t xml:space="preserve">AI Visibility</t>
  </si>
  <si>
    <t xml:space="preserve">Discovery of AI SaaS usage and workflow spread</t>
  </si>
  <si>
    <t xml:space="preserve">AI Governance</t>
  </si>
  <si>
    <t xml:space="preserve">Sanctioned vs unsanctioned AI usage</t>
  </si>
  <si>
    <t xml:space="preserve">AI Telemetry</t>
  </si>
  <si>
    <t xml:space="preserve">Visibility into prompts, uploads, and AI interactions</t>
  </si>
  <si>
    <t xml:space="preserve">AI Identity</t>
  </si>
  <si>
    <t xml:space="preserve">OAuth grants, delegated access, AI-linked identities</t>
  </si>
  <si>
    <t xml:space="preserve">AI Trust Boundaries</t>
  </si>
  <si>
    <t xml:space="preserve">Browser extensions, mediation layers, workflow drift</t>
  </si>
  <si>
    <t xml:space="preserve">AI Detection Engineering</t>
  </si>
  <si>
    <t xml:space="preserve">Behavioral analytics and AI abuse detection</t>
  </si>
  <si>
    <t xml:space="preserve">AI Data Protection</t>
  </si>
  <si>
    <t xml:space="preserve">Prompt DLP and sensitive data exposure</t>
  </si>
  <si>
    <t xml:space="preserve">AI Incident Response</t>
  </si>
  <si>
    <t xml:space="preserve">Investigation and containment of AI-mediated events</t>
  </si>
  <si>
    <t xml:space="preserve">Level 1: No Visibility</t>
  </si>
  <si>
    <t xml:space="preserve">AI Traffic Ratio unknown </t>
  </si>
  <si>
    <t xml:space="preserve">Coverage &lt; 20% </t>
  </si>
  <si>
    <t xml:space="preserve">No CASB tagging for AI domains </t>
  </si>
  <si>
    <t xml:space="preserve">MTTD undefined </t>
  </si>
  <si>
    <t xml:space="preserve">👉 KPI signature:</t>
  </si>
  <si>
    <t xml:space="preserve">AI visibility = 0–20% </t>
  </si>
  <si>
    <t xml:space="preserve">Level 2: Domain-Level Detection</t>
  </si>
  <si>
    <t xml:space="preserve">AI domains identified (ChatGPT, Claude, Copilot) </t>
  </si>
  <si>
    <t xml:space="preserve">AI Traffic Ratio measurable </t>
  </si>
  <si>
    <t xml:space="preserve">CASB blocking basic tools </t>
  </si>
  <si>
    <t xml:space="preserve">Coverage 20–50% </t>
  </si>
  <si>
    <t xml:space="preserve">MTTD &gt; 1 hour </t>
  </si>
  <si>
    <t xml:space="preserve">Level 3: Prompt-Level Detection</t>
  </si>
  <si>
    <t xml:space="preserve">Prompt DLP enabled </t>
  </si>
  <si>
    <t xml:space="preserve">Sensitive prompt detection active </t>
  </si>
  <si>
    <t xml:space="preserve">Shadow AI incidents correlated to users </t>
  </si>
  <si>
    <t xml:space="preserve">Prompt DLP hit rate measurable </t>
  </si>
  <si>
    <t xml:space="preserve">Coverage 50–75% </t>
  </si>
  <si>
    <t xml:space="preserve">MTTD &lt; 30 min </t>
  </si>
  <si>
    <t xml:space="preserve">Level 4: AI Governance Automation</t>
  </si>
  <si>
    <t xml:space="preserve">Policy enforcement automated </t>
  </si>
  <si>
    <t xml:space="preserve">Risk scoring per AI session </t>
  </si>
  <si>
    <t xml:space="preserve">Auto-blocking unsafe prompts/tools </t>
  </si>
  <si>
    <t xml:space="preserve">MTTR &lt; 15 min </t>
  </si>
  <si>
    <t xml:space="preserve">Policy exception growth stabilized </t>
  </si>
  <si>
    <t xml:space="preserve">Coverage 75–90% </t>
  </si>
  <si>
    <t xml:space="preserve">Level 5: AI-Native Zero Trust</t>
  </si>
  <si>
    <t xml:space="preserve">Every AI request authenticated + contextualized </t>
  </si>
  <si>
    <t xml:space="preserve">Prompt-level authorization (not just domain blocking) </t>
  </si>
  <si>
    <t xml:space="preserve">Continuous risk scoring per interaction </t>
  </si>
  <si>
    <t xml:space="preserve">Coverage &gt; 90% </t>
  </si>
  <si>
    <t xml:space="preserve">Near real-time MTTD (&lt; 5 min) </t>
  </si>
  <si>
    <t xml:space="preserve">AI risk score per session enforced</t>
  </si>
  <si>
    <t xml:space="preserve">2. Source Frameworks &amp; References</t>
  </si>
  <si>
    <t xml:space="preserve">This model synthesizes controls from the most widely recognized AI security and governance frameworks. Each control is mapped to one or more of the following sources:</t>
  </si>
  <si>
    <t xml:space="preserve">Primary Sources</t>
  </si>
  <si>
    <t xml:space="preserve">MITRE ATLAS — Adversarial Threat Landscape for Artificial‑Intelligence Systems (Tactics, Techniques, Mitigations)</t>
  </si>
  <si>
    <t xml:space="preserve">MITRE AI Maturity Model — Organizational AI capability and governance maturity</t>
  </si>
  <si>
    <t xml:space="preserve">OWASP Top 10 for LLM Applications — LLM‑specific security risks</t>
  </si>
  <si>
    <t xml:space="preserve">OWASP Top 10 for Agentic AI Systems — Agent autonomy, tool‑use, and memory risks</t>
  </si>
  <si>
    <t xml:space="preserve">Secondary Sources</t>
  </si>
  <si>
    <t xml:space="preserve">NIST AI Risk Management Framework (AI RMF)</t>
  </si>
  <si>
    <t xml:space="preserve">ISO/IEC 42001 (AI Management System Standard)</t>
  </si>
  <si>
    <t xml:space="preserve">Industry best practices from cloud providers (Azure, AWS, GCP)</t>
  </si>
  <si>
    <t xml:space="preserve">This document does not reproduce copyrighted material; instead, it provides derived controls aligned to these frameworks.</t>
  </si>
  <si>
    <t xml:space="preserve">3. How to Use This Model</t>
  </si>
  <si>
    <t xml:space="preserve">This maturity model is designed to be used by:</t>
  </si>
  <si>
    <t xml:space="preserve">CISOs &amp; Security Architects</t>
  </si>
  <si>
    <t xml:space="preserve">AI Governance &amp; Responsible AI teams</t>
  </si>
  <si>
    <t xml:space="preserve">MLOps &amp; Platform Engineering</t>
  </si>
  <si>
    <t xml:space="preserve">Red Teams &amp; AI Security Testing groups</t>
  </si>
  <si>
    <t xml:space="preserve">Compliance, Audit, and Risk Management</t>
  </si>
  <si>
    <t xml:space="preserve">Recommended Usage Workflow</t>
  </si>
  <si>
    <t xml:space="preserve">Identify relevant control categories for your AI systems.</t>
  </si>
  <si>
    <t xml:space="preserve">For each control, score your current maturity level (Level 1–5).</t>
  </si>
  <si>
    <t xml:space="preserve">Use the examples to ensure consistent interpretation across teams.</t>
  </si>
  <si>
    <t xml:space="preserve">Document gaps and define target maturity levels.</t>
  </si>
  <si>
    <t xml:space="preserve">Build a roadmap to close gaps across governance, security, and operations.</t>
  </si>
  <si>
    <t xml:space="preserve">Reassess quarterly or after major AI system changes.</t>
  </si>
  <si>
    <t xml:space="preserve">Scoring Guidance</t>
  </si>
  <si>
    <t xml:space="preserve">Level 5 = Automated, optimized, continuously monitored</t>
  </si>
  <si>
    <t xml:space="preserve">Level 4 = Managed, measurable, consistently enforced</t>
  </si>
  <si>
    <t xml:space="preserve">Level 3 = Defined, documented, repeatable</t>
  </si>
  <si>
    <t xml:space="preserve">Level 2 = Developing, inconsistent, partially implemented</t>
  </si>
  <si>
    <t xml:space="preserve">Level 1 = Initial, ad‑hoc, no formal controls</t>
  </si>
  <si>
    <t xml:space="preserve">Intended Outcomes</t>
  </si>
  <si>
    <t xml:space="preserve">Establish a baseline for AI governance and security maturity</t>
  </si>
  <si>
    <t xml:space="preserve">Identify high‑risk gaps in LLM, agent, and model security</t>
  </si>
  <si>
    <t xml:space="preserve">Provide a roadmap for enterprise AI hardening</t>
  </si>
  <si>
    <t xml:space="preserve">Enable consistent scoring across business units</t>
  </si>
  <si>
    <t xml:space="preserve">Support compliance with emerging AI regulations</t>
  </si>
  <si>
    <t xml:space="preserve">4. Document Structure</t>
  </si>
  <si>
    <t xml:space="preserve">The remainder of this document is organized into batches of controls, each with:</t>
  </si>
  <si>
    <t xml:space="preserve">Control Category</t>
  </si>
  <si>
    <t xml:space="preserve">Control Name</t>
  </si>
  <si>
    <t xml:space="preserve">Maturity Level (5 → 1)</t>
  </si>
  <si>
    <t xml:space="preserve">Description</t>
  </si>
  <si>
    <t xml:space="preserve">Example</t>
  </si>
  <si>
    <t xml:space="preserve">Score (to be filled in)</t>
  </si>
  <si>
    <t xml:space="preserve">Comments (to be filled in)</t>
  </si>
  <si>
    <t xml:space="preserve">This structure ensures the model is Excel‑ready, auditable, and easy to operationalize.</t>
  </si>
  <si>
    <t xml:space="preserve">5. Related Sections You May Want to Explore Next</t>
  </si>
  <si>
    <t xml:space="preserve">Governance Controls</t>
  </si>
  <si>
    <t xml:space="preserve">LLM Security Controls</t>
  </si>
  <si>
    <t xml:space="preserve">Agentic AI Controls</t>
  </si>
  <si>
    <t xml:space="preserve">ATLAS Tactics</t>
  </si>
  <si>
    <t xml:space="preserve">ATLAS Mitigations</t>
  </si>
  <si>
    <t xml:space="preserve">Author: Julie BRUNIAS</t>
  </si>
  <si>
    <t xml:space="preserve">Role: Assembler and curator of the Condensed AI Security &amp; Maturity Model</t>
  </si>
  <si>
    <t xml:space="preserve"> Note: </t>
  </si>
  <si>
    <t xml:space="preserve">This document synthesizes and reorganizes controls derived from publicly available frameworks including MITRE ATLAS, MITRE AI Maturity Model, OWASP LLM Top 10, OWASP Agentic AI Top 10, NIST AI RMF, and ISO/IEC 42001. The structure, maturity levels, examples, and unified control taxonomy were created by the author.</t>
  </si>
  <si>
    <t xml:space="preserve">Items</t>
  </si>
  <si>
    <t xml:space="preserve">Average score</t>
  </si>
  <si>
    <t xml:space="preserve">Governance</t>
  </si>
  <si>
    <t xml:space="preserve">Strategy</t>
  </si>
  <si>
    <t xml:space="preserve">Organization</t>
  </si>
  <si>
    <t xml:space="preserve">Detection</t>
  </si>
  <si>
    <t xml:space="preserve">Monitoring</t>
  </si>
  <si>
    <t xml:space="preserve">Incident Response</t>
  </si>
  <si>
    <t xml:space="preserve">ML-Ops</t>
  </si>
  <si>
    <t xml:space="preserve">Deployment</t>
  </si>
  <si>
    <t xml:space="preserve">Infrastructure</t>
  </si>
  <si>
    <t xml:space="preserve">Resources</t>
  </si>
  <si>
    <t xml:space="preserve">Data Security</t>
  </si>
  <si>
    <t xml:space="preserve">Model Security</t>
  </si>
  <si>
    <t xml:space="preserve">LLM Security</t>
  </si>
  <si>
    <t xml:space="preserve">Agent Security</t>
  </si>
  <si>
    <t xml:space="preserve">LLM Agent Guardrails</t>
  </si>
  <si>
    <t xml:space="preserve">ATLAS Tactics Coverage</t>
  </si>
  <si>
    <t xml:space="preserve">ATLAS Mitigation Coverage</t>
  </si>
  <si>
    <t xml:space="preserve">Total Average Score</t>
  </si>
  <si>
    <t xml:space="preserve">Maturity Level</t>
  </si>
  <si>
    <t xml:space="preserve">Description / Criteria</t>
  </si>
  <si>
    <t xml:space="preserve">Score</t>
  </si>
  <si>
    <t xml:space="preserve">Comments</t>
  </si>
  <si>
    <t xml:space="preserve">AI Program Governance</t>
  </si>
  <si>
    <t xml:space="preserve">Level 5 – Optimized</t>
  </si>
  <si>
    <t xml:space="preserve">Governance is automated, continuously monitored, and integrated with enterprise risk systems.</t>
  </si>
  <si>
    <t xml:space="preserve">AI governance platform auto‑flags non‑compliant models before deployment.</t>
  </si>
  <si>
    <t xml:space="preserve">Level 4 – Managed</t>
  </si>
  <si>
    <t xml:space="preserve">Governance processes are standardized, measured, and enforced across all teams.</t>
  </si>
  <si>
    <t xml:space="preserve">Mandatory AI review gates in CI/CD.</t>
  </si>
  <si>
    <t xml:space="preserve">Level 3 – Defined</t>
  </si>
  <si>
    <t xml:space="preserve">Formal governance roles, policies, and processes exist and are documented.</t>
  </si>
  <si>
    <t xml:space="preserve">AI steering committee, RACI, policies.</t>
  </si>
  <si>
    <t xml:space="preserve">Level 2 – Developing</t>
  </si>
  <si>
    <t xml:space="preserve">Some governance exists but is inconsistent or team‑specific.</t>
  </si>
  <si>
    <t xml:space="preserve">One team uses a model registry, others don’t.</t>
  </si>
  <si>
    <t xml:space="preserve">Level 1 – Initial</t>
  </si>
  <si>
    <t xml:space="preserve">No formal governance; ad‑hoc decisions.</t>
  </si>
  <si>
    <t xml:space="preserve">No inventory of AI systems.</t>
  </si>
  <si>
    <t xml:space="preserve">Total AI Program Governance</t>
  </si>
  <si>
    <t xml:space="preserve">Responsible AI</t>
  </si>
  <si>
    <t xml:space="preserve">Automated fairness, bias, and transparency checks run continuously.</t>
  </si>
  <si>
    <t xml:space="preserve">Bias detection triggers auto‑rollback.</t>
  </si>
  <si>
    <t xml:space="preserve">Responsible AI KPIs are monitored and audited.</t>
  </si>
  <si>
    <t xml:space="preserve">Quarterly fairness audits.</t>
  </si>
  <si>
    <t xml:space="preserve">Responsible AI standards and documentation are formalized.</t>
  </si>
  <si>
    <t xml:space="preserve">Model cards, transparency reports.</t>
  </si>
  <si>
    <t xml:space="preserve">Basic guidelines exist but are not enforced.</t>
  </si>
  <si>
    <t xml:space="preserve">Ethical checklist used by some teams.</t>
  </si>
  <si>
    <t xml:space="preserve">No ethical or fairness considerations.</t>
  </si>
  <si>
    <t xml:space="preserve">No bias testing.</t>
  </si>
  <si>
    <t xml:space="preserve">Total Responsible AI</t>
  </si>
  <si>
    <t xml:space="preserve">AI Risk Management</t>
  </si>
  <si>
    <t xml:space="preserve">Automated risk scoring and mitigation workflows.</t>
  </si>
  <si>
    <t xml:space="preserve">Real‑time risk scoring dashboard.</t>
  </si>
  <si>
    <t xml:space="preserve">Continuous monitoring of AI risks across lifecycle.</t>
  </si>
  <si>
    <t xml:space="preserve">Drift alerts tied to risk register.</t>
  </si>
  <si>
    <t xml:space="preserve">Formal AI risk register and assessment process.</t>
  </si>
  <si>
    <t xml:space="preserve">Risk scoring templates.</t>
  </si>
  <si>
    <t xml:space="preserve">Ad‑hoc risk reviews.</t>
  </si>
  <si>
    <t xml:space="preserve">One‑off risk assessments.</t>
  </si>
  <si>
    <t xml:space="preserve">No AI‑specific risk management.</t>
  </si>
  <si>
    <t xml:space="preserve">No tracking of AI risks.</t>
  </si>
  <si>
    <t xml:space="preserve">Total AI Risk Management</t>
  </si>
  <si>
    <t xml:space="preserve">AI Policy &amp; Compliance</t>
  </si>
  <si>
    <t xml:space="preserve">Policies enforced automatically through tooling.</t>
  </si>
  <si>
    <t xml:space="preserve">Automated policy enforcement in pipelines.</t>
  </si>
  <si>
    <t xml:space="preserve">Compliance is monitored and audited regularly.</t>
  </si>
  <si>
    <t xml:space="preserve">Quarterly compliance audits.</t>
  </si>
  <si>
    <t xml:space="preserve">AI policies exist and are communicated.</t>
  </si>
  <si>
    <t xml:space="preserve">AI acceptable‑use policy.</t>
  </si>
  <si>
    <t xml:space="preserve">Draft policies exist but are not enforced.</t>
  </si>
  <si>
    <t xml:space="preserve">Draft RAI guidelines.</t>
  </si>
  <si>
    <t xml:space="preserve">No AI policies.</t>
  </si>
  <si>
    <t xml:space="preserve">No rules for model usage.</t>
  </si>
  <si>
    <t xml:space="preserve">Total AI Policy/Compliance</t>
  </si>
  <si>
    <t xml:space="preserve">AI Inventory &amp; Registry</t>
  </si>
  <si>
    <t xml:space="preserve">Automated discovery of all AI systems; real‑time updates.</t>
  </si>
  <si>
    <t xml:space="preserve">Auto‑scanning cloud for unregistered models.</t>
  </si>
  <si>
    <t xml:space="preserve">Registry is mandatory and enforced.</t>
  </si>
  <si>
    <t xml:space="preserve">CI/CD blocks unregistered models.</t>
  </si>
  <si>
    <t xml:space="preserve">Centralized model registry exists.</t>
  </si>
  <si>
    <t xml:space="preserve">MLflow, SageMaker, Azure registry.</t>
  </si>
  <si>
    <t xml:space="preserve">Partial inventory exists.</t>
  </si>
  <si>
    <t xml:space="preserve">Spreadsheet of models.</t>
  </si>
  <si>
    <t xml:space="preserve">No inventory.</t>
  </si>
  <si>
    <t xml:space="preserve">No idea what models exist.</t>
  </si>
  <si>
    <t xml:space="preserve">Total AI Inventory/Registry</t>
  </si>
  <si>
    <t xml:space="preserve">AI Strategy &amp; Vision</t>
  </si>
  <si>
    <t xml:space="preserve">AI strategy is continuously refined using real‑time performance, risk, and value metrics.</t>
  </si>
  <si>
    <t xml:space="preserve">Strategy auto‑adjusts based on model ROI dashboards.</t>
  </si>
  <si>
    <t xml:space="preserve">AI strategy is measurable, aligned to business goals, and reviewed regularly.</t>
  </si>
  <si>
    <t xml:space="preserve">Annual AI strategy review with KPIs.</t>
  </si>
  <si>
    <t xml:space="preserve">Documented AI strategy exists and is communicated across the organization.</t>
  </si>
  <si>
    <t xml:space="preserve">AI strategy published internally.</t>
  </si>
  <si>
    <t xml:space="preserve">AI strategy is emerging but incomplete or siloed.</t>
  </si>
  <si>
    <t xml:space="preserve">One business unit has an AI roadmap.</t>
  </si>
  <si>
    <t xml:space="preserve">No AI strategy; ad‑hoc experimentation.</t>
  </si>
  <si>
    <t xml:space="preserve">Teams build models without direction.</t>
  </si>
  <si>
    <t xml:space="preserve">Total AI Strategy/Vision</t>
  </si>
  <si>
    <t xml:space="preserve">AI Value Realization</t>
  </si>
  <si>
    <t xml:space="preserve">Automated measurement of AI value, cost, and impact across the portfolio.</t>
  </si>
  <si>
    <t xml:space="preserve">Real‑time ROI dashboards for all models.</t>
  </si>
  <si>
    <t xml:space="preserve">AI value is measured consistently with standardized KPIs.</t>
  </si>
  <si>
    <t xml:space="preserve">Cost savings tracked quarterly.</t>
  </si>
  <si>
    <t xml:space="preserve">Value measurement frameworks exist.</t>
  </si>
  <si>
    <t xml:space="preserve">Business case templates for AI projects.</t>
  </si>
  <si>
    <t xml:space="preserve">Some value tracking exists but is inconsistent.</t>
  </si>
  <si>
    <t xml:space="preserve">One team tracks model performance.</t>
  </si>
  <si>
    <t xml:space="preserve">No measurement of AI value.</t>
  </si>
  <si>
    <t xml:space="preserve">No tracking of AI impact.</t>
  </si>
  <si>
    <t xml:space="preserve">Total AI Value Realization</t>
  </si>
  <si>
    <t xml:space="preserve">AI Portfolio Management</t>
  </si>
  <si>
    <t xml:space="preserve">Portfolio decisions are automated using risk, performance, and value signals.</t>
  </si>
  <si>
    <t xml:space="preserve">Auto‑retirement of low‑value models.</t>
  </si>
  <si>
    <t xml:space="preserve">Portfolio is actively managed with clear prioritization.</t>
  </si>
  <si>
    <t xml:space="preserve">Quarterly portfolio reviews.</t>
  </si>
  <si>
    <t xml:space="preserve">AI portfolio is documented and tracked.</t>
  </si>
  <si>
    <t xml:space="preserve">Centralized list of all AI initiatives.</t>
  </si>
  <si>
    <t xml:space="preserve">Partial portfolio visibility.</t>
  </si>
  <si>
    <t xml:space="preserve">Some projects tracked, others not.</t>
  </si>
  <si>
    <t xml:space="preserve">No portfolio management.</t>
  </si>
  <si>
    <t xml:space="preserve">No visibility into AI initiatives.</t>
  </si>
  <si>
    <t xml:space="preserve">Total AI Portfolio</t>
  </si>
  <si>
    <t xml:space="preserve">AI Organizational Structure</t>
  </si>
  <si>
    <t xml:space="preserve">AI org structure adapts dynamically to business needs; federated + centralized hybrid.</t>
  </si>
  <si>
    <t xml:space="preserve">AI Center of Excellence + embedded teams.</t>
  </si>
  <si>
    <t xml:space="preserve">Clear roles, responsibilities, and cross‑functional alignment.</t>
  </si>
  <si>
    <t xml:space="preserve">Central AI team with defined charters.</t>
  </si>
  <si>
    <t xml:space="preserve">Formal AI org structure exists.</t>
  </si>
  <si>
    <t xml:space="preserve">AI lead, MLOps team, governance roles.</t>
  </si>
  <si>
    <t xml:space="preserve">Some roles exist but unclear or siloed.</t>
  </si>
  <si>
    <t xml:space="preserve">One data scientist per team.</t>
  </si>
  <si>
    <t xml:space="preserve">No AI roles or structure.</t>
  </si>
  <si>
    <t xml:space="preserve">No dedicated AI staff.</t>
  </si>
  <si>
    <t xml:space="preserve">Total AI Organizational</t>
  </si>
  <si>
    <t xml:space="preserve">AI Skills &amp; Workforce</t>
  </si>
  <si>
    <t xml:space="preserve">Workforce skills are continuously assessed and training is automated/personalized.</t>
  </si>
  <si>
    <t xml:space="preserve">AI skill gap analysis auto‑generated.</t>
  </si>
  <si>
    <t xml:space="preserve">Enterprise‑wide AI training programs exist and are measured.</t>
  </si>
  <si>
    <t xml:space="preserve">Annual AI upskilling program.</t>
  </si>
  <si>
    <t xml:space="preserve">AI training is available and structured.</t>
  </si>
  <si>
    <t xml:space="preserve">AI bootcamps, internal courses.</t>
  </si>
  <si>
    <t xml:space="preserve">Some training exists but is inconsistent.</t>
  </si>
  <si>
    <t xml:space="preserve">One team uses Coursera.</t>
  </si>
  <si>
    <t xml:space="preserve">No AI training.</t>
  </si>
  <si>
    <t xml:space="preserve">No AI education programs.</t>
  </si>
  <si>
    <t xml:space="preserve">Total AI Skills/Workforce</t>
  </si>
  <si>
    <t xml:space="preserve">Domain‑Level Detection</t>
  </si>
  <si>
    <t xml:space="preserve">Autonomous detection of AI threats across domains with risk scoring.</t>
  </si>
  <si>
    <t xml:space="preserve">Auto‑flagging anomalous inference patterns.</t>
  </si>
  <si>
    <t xml:space="preserve">ML‑based anomaly detection across AI systems.</t>
  </si>
  <si>
    <t xml:space="preserve">Behavioral analytics for model misuse.</t>
  </si>
  <si>
    <t xml:space="preserve">Standardized detection rules and thresholds.</t>
  </si>
  <si>
    <t xml:space="preserve">Thresholds for unusual API usage.</t>
  </si>
  <si>
    <t xml:space="preserve">Basic anomaly detection.</t>
  </si>
  <si>
    <t xml:space="preserve">Simple volume‑based alerts.</t>
  </si>
  <si>
    <t xml:space="preserve">No detection.</t>
  </si>
  <si>
    <t xml:space="preserve">No alerts for abnormal behavior.</t>
  </si>
  <si>
    <t xml:space="preserve">Total Domain Lvl Detection</t>
  </si>
  <si>
    <t xml:space="preserve">Prompt‑Level Detection</t>
  </si>
  <si>
    <t xml:space="preserve">Autonomous detection of malicious prompts using AI‑native Zero Trust.</t>
  </si>
  <si>
    <t xml:space="preserve">Auto‑blocking indirect prompt injection.</t>
  </si>
  <si>
    <t xml:space="preserve">ML‑based detection of harmful prompt patterns.</t>
  </si>
  <si>
    <t xml:space="preserve">Prompt anomaly classifier.</t>
  </si>
  <si>
    <t xml:space="preserve">Standardized prompt validation rules.</t>
  </si>
  <si>
    <t xml:space="preserve">Prompt allow/deny lists.</t>
  </si>
  <si>
    <t xml:space="preserve">Basic keyword‑based detection.</t>
  </si>
  <si>
    <t xml:space="preserve">Regex for jailbreak attempts.</t>
  </si>
  <si>
    <t xml:space="preserve">No prompt detection.</t>
  </si>
  <si>
    <t xml:space="preserve">Any prompt accepted.</t>
  </si>
  <si>
    <t xml:space="preserve">Total Prompt Lvl Detection</t>
  </si>
  <si>
    <t xml:space="preserve">AI Threat Analytics</t>
  </si>
  <si>
    <t xml:space="preserve">Autonomous threat correlation across all AI systems.</t>
  </si>
  <si>
    <t xml:space="preserve">AI SOC auto‑correlates LLM attacks.</t>
  </si>
  <si>
    <t xml:space="preserve">Continuous threat analytics with dashboards.</t>
  </si>
  <si>
    <t xml:space="preserve">LLM threat analytics platform.</t>
  </si>
  <si>
    <t xml:space="preserve">Documented threat analytics processes.</t>
  </si>
  <si>
    <t xml:space="preserve">ATLAS‑aligned threat mapping.</t>
  </si>
  <si>
    <t xml:space="preserve">Partial threat analysis.</t>
  </si>
  <si>
    <t xml:space="preserve">Manual review of logs.</t>
  </si>
  <si>
    <t xml:space="preserve">No threat analytics.</t>
  </si>
  <si>
    <t xml:space="preserve">No visibility into AI threats.</t>
  </si>
  <si>
    <t xml:space="preserve">Total AI Threat Analytics</t>
  </si>
  <si>
    <t xml:space="preserve">AI System Observability</t>
  </si>
  <si>
    <t xml:space="preserve">Full-stack AI observability with autonomous anomaly detection and automated remediation.</t>
  </si>
  <si>
    <t xml:space="preserve">System auto‑rolls back a failing model.</t>
  </si>
  <si>
    <t xml:space="preserve">Continuous monitoring of inputs, outputs, latency, and performance.</t>
  </si>
  <si>
    <t xml:space="preserve">Real‑time dashboards for all models.</t>
  </si>
  <si>
    <t xml:space="preserve">Standardized observability metrics and logging.</t>
  </si>
  <si>
    <t xml:space="preserve">Model latency, accuracy, drift metrics.</t>
  </si>
  <si>
    <t xml:space="preserve">Partial monitoring; inconsistent metrics.</t>
  </si>
  <si>
    <t xml:space="preserve">One team tracks inference latency.</t>
  </si>
  <si>
    <t xml:space="preserve">No monitoring.</t>
  </si>
  <si>
    <t xml:space="preserve">No visibility into model behavior.</t>
  </si>
  <si>
    <t xml:space="preserve">Total AI System Obs</t>
  </si>
  <si>
    <t xml:space="preserve">Agent Behavior Monitoring</t>
  </si>
  <si>
    <t xml:space="preserve">Autonomous detection of risky agent behavior with automated containment.</t>
  </si>
  <si>
    <t xml:space="preserve">Agent auto‑sandboxed during anomalies.</t>
  </si>
  <si>
    <t xml:space="preserve">Continuous monitoring of agent actions and tool calls.</t>
  </si>
  <si>
    <t xml:space="preserve">Alerts for unusual tool sequences.</t>
  </si>
  <si>
    <t xml:space="preserve">Standardized behavior logging.</t>
  </si>
  <si>
    <t xml:space="preserve">Logs of all agent actions.</t>
  </si>
  <si>
    <t xml:space="preserve">Partial monitoring.</t>
  </si>
  <si>
    <t xml:space="preserve">Logs only some agent actions.</t>
  </si>
  <si>
    <t xml:space="preserve">Agent actions invisible.</t>
  </si>
  <si>
    <t xml:space="preserve">Total Agent Behavior Monitoring</t>
  </si>
  <si>
    <t xml:space="preserve">Model Drift Detection</t>
  </si>
  <si>
    <t xml:space="preserve">Autonomous drift detection with automated retraining or rollback.</t>
  </si>
  <si>
    <t xml:space="preserve">Auto‑rollback when drift exceeds threshold.</t>
  </si>
  <si>
    <t xml:space="preserve">Continuous drift monitoring with alerts.</t>
  </si>
  <si>
    <t xml:space="preserve">Drift dashboard with thresholds.</t>
  </si>
  <si>
    <t xml:space="preserve">Documented drift detection processes.</t>
  </si>
  <si>
    <t xml:space="preserve">Statistical drift tests.</t>
  </si>
  <si>
    <t xml:space="preserve">Partial drift checks.</t>
  </si>
  <si>
    <t xml:space="preserve">Occasional manual drift analysis.</t>
  </si>
  <si>
    <t xml:space="preserve">No drift detection.</t>
  </si>
  <si>
    <t xml:space="preserve">Model performance degrades unnoticed.</t>
  </si>
  <si>
    <t xml:space="preserve">Total Model Drift Detection</t>
  </si>
  <si>
    <t xml:space="preserve">Audit Logging &amp; Traceability</t>
  </si>
  <si>
    <t xml:space="preserve">Immutable, automated audit logs with full traceability and anomaly detection.</t>
  </si>
  <si>
    <t xml:space="preserve">Blockchain‑backed audit logs.</t>
  </si>
  <si>
    <t xml:space="preserve">Continuous audit log monitoring.</t>
  </si>
  <si>
    <t xml:space="preserve">Alerts for suspicious log entries.</t>
  </si>
  <si>
    <t xml:space="preserve">Standardized logging across all AI systems.</t>
  </si>
  <si>
    <t xml:space="preserve">Input/output logging.</t>
  </si>
  <si>
    <t xml:space="preserve">Partial logging.</t>
  </si>
  <si>
    <t xml:space="preserve">Logs only some model interactions.</t>
  </si>
  <si>
    <t xml:space="preserve">No logging.</t>
  </si>
  <si>
    <t xml:space="preserve">No record of model activity.</t>
  </si>
  <si>
    <t xml:space="preserve">Total Audit Logging Traceability</t>
  </si>
  <si>
    <t xml:space="preserve">Autonomous containment and recovery workflows for AI incidents.</t>
  </si>
  <si>
    <t xml:space="preserve">Auto‑quarantine of compromised model.</t>
  </si>
  <si>
    <t xml:space="preserve">Continuous monitoring and rehearsed AI‑specific IR plans.</t>
  </si>
  <si>
    <t xml:space="preserve">AI red‑team exercises.</t>
  </si>
  <si>
    <t xml:space="preserve">Documented AI incident response playbooks.</t>
  </si>
  <si>
    <t xml:space="preserve">ATLAS‑aligned IR procedures.</t>
  </si>
  <si>
    <t xml:space="preserve">Partial IR processes.</t>
  </si>
  <si>
    <t xml:space="preserve">Manual response to AI failures.</t>
  </si>
  <si>
    <t xml:space="preserve">No AI‑specific incident response.</t>
  </si>
  <si>
    <t xml:space="preserve">No plan for LLM compromise.</t>
  </si>
  <si>
    <t xml:space="preserve">Total AI Incident Response</t>
  </si>
  <si>
    <t xml:space="preserve">MLOps</t>
  </si>
  <si>
    <t xml:space="preserve">Model Lifecycle Management</t>
  </si>
  <si>
    <t xml:space="preserve">Autonomous lifecycle orchestration with automated retraining, rollback, and retirement.</t>
  </si>
  <si>
    <t xml:space="preserve">Auto‑retirement of stale models.</t>
  </si>
  <si>
    <t xml:space="preserve">Continuous lifecycle monitoring with standardized workflows.</t>
  </si>
  <si>
    <t xml:space="preserve">CI/CD triggers retraining pipelines.</t>
  </si>
  <si>
    <t xml:space="preserve">Documented lifecycle processes for development → deployment → monitoring → retirement.</t>
  </si>
  <si>
    <t xml:space="preserve">Versioning, approval gates.</t>
  </si>
  <si>
    <t xml:space="preserve">Partial lifecycle processes.</t>
  </si>
  <si>
    <t xml:space="preserve">Some models versioned, others not.</t>
  </si>
  <si>
    <t xml:space="preserve">No lifecycle management.</t>
  </si>
  <si>
    <t xml:space="preserve">Models deployed manually.</t>
  </si>
  <si>
    <t xml:space="preserve">Total Model Lifecycle</t>
  </si>
  <si>
    <t xml:space="preserve">CI/CD for AI</t>
  </si>
  <si>
    <t xml:space="preserve">Fully automated CI/CD with AI‑specific validation, security checks, and governance gates.</t>
  </si>
  <si>
    <t xml:space="preserve">Auto‑block deployment if safety tests fail.</t>
  </si>
  <si>
    <t xml:space="preserve">Continuous integration and deployment with automated tests.</t>
  </si>
  <si>
    <t xml:space="preserve">Automated model validation suite.</t>
  </si>
  <si>
    <t xml:space="preserve">Standardized CI/CD pipelines for AI.</t>
  </si>
  <si>
    <t xml:space="preserve">Model registry + deployment pipeline.</t>
  </si>
  <si>
    <t xml:space="preserve">Partial automation.</t>
  </si>
  <si>
    <t xml:space="preserve">Manual deployment with some scripts.</t>
  </si>
  <si>
    <t xml:space="preserve">No CI/CD.</t>
  </si>
  <si>
    <t xml:space="preserve">Manual model deployment.</t>
  </si>
  <si>
    <t xml:space="preserve">Total CI/CD for AI</t>
  </si>
  <si>
    <t xml:space="preserve">Secure Model Deployment</t>
  </si>
  <si>
    <t xml:space="preserve">Autonomous deployment validation with Zero Trust enforcement.</t>
  </si>
  <si>
    <t xml:space="preserve">Auto‑deny deployment of non‑compliant models.</t>
  </si>
  <si>
    <t xml:space="preserve">Deployment security checks enforced consistently.</t>
  </si>
  <si>
    <t xml:space="preserve">Security scanning in deployment pipeline.</t>
  </si>
  <si>
    <t xml:space="preserve">Documented deployment security standards.</t>
  </si>
  <si>
    <t xml:space="preserve">Deployment checklist.</t>
  </si>
  <si>
    <t xml:space="preserve">Partial deployment controls.</t>
  </si>
  <si>
    <t xml:space="preserve">Some models deployed securely.</t>
  </si>
  <si>
    <t xml:space="preserve">No deployment security.</t>
  </si>
  <si>
    <t xml:space="preserve">Models deployed without review.</t>
  </si>
  <si>
    <t xml:space="preserve">Total Secure Model Deployment</t>
  </si>
  <si>
    <t xml:space="preserve">Environment Hardening</t>
  </si>
  <si>
    <t xml:space="preserve">Autonomous environment hardening with continuous compliance scanning.</t>
  </si>
  <si>
    <t xml:space="preserve">Auto‑patching of ML environments.</t>
  </si>
  <si>
    <t xml:space="preserve">Continuous monitoring of environment security.</t>
  </si>
  <si>
    <t xml:space="preserve">Vulnerability scanning for ML runtimes.</t>
  </si>
  <si>
    <t xml:space="preserve">Standardized environment hardening procedures.</t>
  </si>
  <si>
    <t xml:space="preserve">Hardened containers for inference.</t>
  </si>
  <si>
    <t xml:space="preserve">Partial hardening.</t>
  </si>
  <si>
    <t xml:space="preserve">Some secure configs applied.</t>
  </si>
  <si>
    <t xml:space="preserve">No hardening.</t>
  </si>
  <si>
    <t xml:space="preserve">Default insecure environments.</t>
  </si>
  <si>
    <t xml:space="preserve">Total Environment Hardening</t>
  </si>
  <si>
    <t xml:space="preserve">Sandboxing &amp; Isolation</t>
  </si>
  <si>
    <t xml:space="preserve">Zero‑Trust execution isolation with autonomous sandboxing.</t>
  </si>
  <si>
    <t xml:space="preserve">Auto‑sandboxing during suspicious behavior.</t>
  </si>
  <si>
    <t xml:space="preserve">Continuous monitoring of sandbox integrity.</t>
  </si>
  <si>
    <t xml:space="preserve">Alerts for sandbox escapes.</t>
  </si>
  <si>
    <t xml:space="preserve">Standardized sandboxing for all models/agents.</t>
  </si>
  <si>
    <t xml:space="preserve">Containerized inference.</t>
  </si>
  <si>
    <t xml:space="preserve">Partial sandboxing.</t>
  </si>
  <si>
    <t xml:space="preserve">Some models run in isolated VMs.</t>
  </si>
  <si>
    <t xml:space="preserve">No sandboxing.</t>
  </si>
  <si>
    <t xml:space="preserve">Models run with full system access.</t>
  </si>
  <si>
    <t xml:space="preserve">Total Sandboxing/Isolation</t>
  </si>
  <si>
    <t xml:space="preserve">Kill Switch</t>
  </si>
  <si>
    <t xml:space="preserve">Autonomous kill switch triggered by risk scoring or anomaly detection.</t>
  </si>
  <si>
    <t xml:space="preserve">Auto‑shutdown of rogue agent.</t>
  </si>
  <si>
    <t xml:space="preserve">Automated kill switch with monitoring.</t>
  </si>
  <si>
    <t xml:space="preserve">Kill switch tied to safety metrics.</t>
  </si>
  <si>
    <t xml:space="preserve">Documented kill switch procedures.</t>
  </si>
  <si>
    <t xml:space="preserve">Manual kill switch in UI.</t>
  </si>
  <si>
    <t xml:space="preserve">Partial kill switch capability.</t>
  </si>
  <si>
    <t xml:space="preserve">CLI‑based shutdown.</t>
  </si>
  <si>
    <t xml:space="preserve">No kill switch.</t>
  </si>
  <si>
    <t xml:space="preserve">No way to stop a runaway model.</t>
  </si>
  <si>
    <t xml:space="preserve">Total Kill Switch</t>
  </si>
  <si>
    <t xml:space="preserve">AI Zero Trust</t>
  </si>
  <si>
    <t xml:space="preserve">Full AI‑native Zero Trust with continuous authentication, authorization, and risk scoring.</t>
  </si>
  <si>
    <t xml:space="preserve">Dynamic access revocation for models.</t>
  </si>
  <si>
    <t xml:space="preserve">Zero Trust enforced across AI systems.</t>
  </si>
  <si>
    <t xml:space="preserve">Identity‑aware inference endpoints.</t>
  </si>
  <si>
    <t xml:space="preserve">Zero Trust policies documented.</t>
  </si>
  <si>
    <t xml:space="preserve">Access segmentation for AI workloads.</t>
  </si>
  <si>
    <t xml:space="preserve">Partial Zero Trust controls.</t>
  </si>
  <si>
    <t xml:space="preserve">Some identity checks.</t>
  </si>
  <si>
    <t xml:space="preserve">No Zero Trust.</t>
  </si>
  <si>
    <t xml:space="preserve">Flat network, no segmentation.</t>
  </si>
  <si>
    <t xml:space="preserve">Total AI Zero Trust</t>
  </si>
  <si>
    <t xml:space="preserve">Dependency &amp; Environment Security</t>
  </si>
  <si>
    <t xml:space="preserve">Autonomous dependency verification and continuous SBOM monitoring.</t>
  </si>
  <si>
    <t xml:space="preserve">Auto‑flagging compromised ML libraries.</t>
  </si>
  <si>
    <t xml:space="preserve">Continuous scanning of ML dependencies.</t>
  </si>
  <si>
    <t xml:space="preserve">Automated CVE scanning.</t>
  </si>
  <si>
    <t xml:space="preserve">SBOM required for all models.</t>
  </si>
  <si>
    <t xml:space="preserve">MLflow + SBOM integration.</t>
  </si>
  <si>
    <t xml:space="preserve">Partial dependency tracking.</t>
  </si>
  <si>
    <t xml:space="preserve">Some libraries tracked manually.</t>
  </si>
  <si>
    <t xml:space="preserve">No supply chain controls.</t>
  </si>
  <si>
    <t xml:space="preserve">Unknown ML dependencies.</t>
  </si>
  <si>
    <t xml:space="preserve">Total Dependency/Environment Security</t>
  </si>
  <si>
    <t xml:space="preserve">AI Budgeting &amp; Funding</t>
  </si>
  <si>
    <t xml:space="preserve">Funding is dynamic, value‑based, and automated.</t>
  </si>
  <si>
    <t xml:space="preserve">Funding shifts based on model ROI.</t>
  </si>
  <si>
    <t xml:space="preserve">AI budget is planned, tracked, and aligned to strategy.</t>
  </si>
  <si>
    <t xml:space="preserve">Annual AI budget cycle.</t>
  </si>
  <si>
    <t xml:space="preserve">AI funding model exists.</t>
  </si>
  <si>
    <t xml:space="preserve">Dedicated AI budget line.</t>
  </si>
  <si>
    <t xml:space="preserve">Some funding exists but is inconsistent.</t>
  </si>
  <si>
    <t xml:space="preserve">One team gets AI budget.</t>
  </si>
  <si>
    <t xml:space="preserve">No dedicated AI funding.</t>
  </si>
  <si>
    <t xml:space="preserve">AI projects rely on leftover budgets.</t>
  </si>
  <si>
    <t xml:space="preserve">Total AI Budgeting/Funding</t>
  </si>
  <si>
    <t xml:space="preserve">AI Tools &amp; Platforms</t>
  </si>
  <si>
    <t xml:space="preserve">Tooling is automated, scalable, and self‑service across the org.</t>
  </si>
  <si>
    <t xml:space="preserve">Auto‑provisioned GPU clusters.</t>
  </si>
  <si>
    <t xml:space="preserve">Standardized AI platforms are used across teams.</t>
  </si>
  <si>
    <t xml:space="preserve">Enterprise MLOps platform.</t>
  </si>
  <si>
    <t xml:space="preserve">Tools and platforms are documented and supported.</t>
  </si>
  <si>
    <t xml:space="preserve">Approved AI tool catalog.</t>
  </si>
  <si>
    <t xml:space="preserve">Tools exist but are inconsistent across teams.</t>
  </si>
  <si>
    <t xml:space="preserve">One team uses Databricks, others don’t.</t>
  </si>
  <si>
    <t xml:space="preserve">No AI tooling strategy.</t>
  </si>
  <si>
    <t xml:space="preserve">Teams use ad‑hoc tools.</t>
  </si>
  <si>
    <t xml:space="preserve">Total AI Tools/Platforms</t>
  </si>
  <si>
    <t xml:space="preserve">Data Governance &amp; Quality</t>
  </si>
  <si>
    <t xml:space="preserve">Automated data validation, lineage tracking, and quality scoring across all pipelines.</t>
  </si>
  <si>
    <t xml:space="preserve">Real‑time data quality scoring with auto‑remediation.</t>
  </si>
  <si>
    <t xml:space="preserve">Standardized data governance enforced across teams.</t>
  </si>
  <si>
    <t xml:space="preserve">Mandatory data lineage tracking.</t>
  </si>
  <si>
    <t xml:space="preserve">Documented data governance processes exist.</t>
  </si>
  <si>
    <t xml:space="preserve">Data dictionaries, lineage diagrams.</t>
  </si>
  <si>
    <t xml:space="preserve">Partial governance; inconsistent quality checks.</t>
  </si>
  <si>
    <t xml:space="preserve">Some datasets validated manually.</t>
  </si>
  <si>
    <t xml:space="preserve">No data governance or quality controls.</t>
  </si>
  <si>
    <t xml:space="preserve">No validation of training data.</t>
  </si>
  <si>
    <t xml:space="preserve">Total Data Governance/Quality</t>
  </si>
  <si>
    <t xml:space="preserve">Data Poisoning Defense</t>
  </si>
  <si>
    <t xml:space="preserve">Autonomous detection and mitigation of poisoning attempts across all data sources.</t>
  </si>
  <si>
    <t xml:space="preserve">Auto‑flagging anomalous training samples.</t>
  </si>
  <si>
    <t xml:space="preserve">Continuous monitoring for poisoning indicators.</t>
  </si>
  <si>
    <t xml:space="preserve">Drift detection tied to alerts.</t>
  </si>
  <si>
    <t xml:space="preserve">Automated validation and sanitization pipelines.</t>
  </si>
  <si>
    <t xml:space="preserve">Outlier filtering before training.</t>
  </si>
  <si>
    <t xml:space="preserve">Manual dataset reviews.</t>
  </si>
  <si>
    <t xml:space="preserve">Manual spot‑checks for anomalies.</t>
  </si>
  <si>
    <t xml:space="preserve">No poisoning defenses.</t>
  </si>
  <si>
    <t xml:space="preserve">Any data can enter training.</t>
  </si>
  <si>
    <t xml:space="preserve">Total Data Poisoning Defense</t>
  </si>
  <si>
    <t xml:space="preserve">Sensitive Data Protection</t>
  </si>
  <si>
    <t xml:space="preserve">Automated PII detection, redaction, and encryption across all AI workflows.</t>
  </si>
  <si>
    <t xml:space="preserve">Auto‑redaction of PII in prompts.</t>
  </si>
  <si>
    <t xml:space="preserve">Consistent enforcement of data protection policies.</t>
  </si>
  <si>
    <t xml:space="preserve">PII scanning in pipelines.</t>
  </si>
  <si>
    <t xml:space="preserve">Documented data protection standards.</t>
  </si>
  <si>
    <t xml:space="preserve">PII classification guidelines.</t>
  </si>
  <si>
    <t xml:space="preserve">Partial PII handling controls.</t>
  </si>
  <si>
    <t xml:space="preserve">Manual redaction.</t>
  </si>
  <si>
    <t xml:space="preserve">No PII protection.</t>
  </si>
  <si>
    <t xml:space="preserve">Sensitive data appears in training sets.</t>
  </si>
  <si>
    <t xml:space="preserve">Total Sensitive Data Protection</t>
  </si>
  <si>
    <t xml:space="preserve">#DIV/0!</t>
  </si>
  <si>
    <t xml:space="preserve">Model Hardening</t>
  </si>
  <si>
    <t xml:space="preserve">Automated adversarial training and continuous robustness testing.</t>
  </si>
  <si>
    <t xml:space="preserve">Auto‑generated adversarial examples.</t>
  </si>
  <si>
    <t xml:space="preserve">Regular adversarial testing and model robustness reviews.</t>
  </si>
  <si>
    <t xml:space="preserve">Quarterly red‑team testing.</t>
  </si>
  <si>
    <t xml:space="preserve">Documented hardening techniques applied.</t>
  </si>
  <si>
    <t xml:space="preserve">Gradient masking, noise injection.</t>
  </si>
  <si>
    <t xml:space="preserve">Some hardening applied inconsistently.</t>
  </si>
  <si>
    <t xml:space="preserve">One model uses adversarial training.</t>
  </si>
  <si>
    <t xml:space="preserve">No model hardening.</t>
  </si>
  <si>
    <t xml:space="preserve">Models vulnerable to simple attacks.</t>
  </si>
  <si>
    <t xml:space="preserve">Total Model Hardening</t>
  </si>
  <si>
    <t xml:space="preserve">Model Theft Defense</t>
  </si>
  <si>
    <t xml:space="preserve">Zero‑Trust inference isolation with automated extraction detection.</t>
  </si>
  <si>
    <t xml:space="preserve">Auto‑blocking suspicious query patterns.</t>
  </si>
  <si>
    <t xml:space="preserve">Continuous monitoring for extraction attempts.</t>
  </si>
  <si>
    <t xml:space="preserve">Rate‑limit anomalies trigger alerts.</t>
  </si>
  <si>
    <t xml:space="preserve">Standardized protections implemented.</t>
  </si>
  <si>
    <t xml:space="preserve">Query rate limiting, watermarking.</t>
  </si>
  <si>
    <t xml:space="preserve">Basic protections exist.</t>
  </si>
  <si>
    <t xml:space="preserve">Simple throttling.</t>
  </si>
  <si>
    <t xml:space="preserve">No protections.</t>
  </si>
  <si>
    <t xml:space="preserve">Unlimited inference queries.</t>
  </si>
  <si>
    <t xml:space="preserve">Total Model Theft Defense</t>
  </si>
  <si>
    <t xml:space="preserve">Model Supply Chain Security</t>
  </si>
  <si>
    <t xml:space="preserve">Total Model Supply Chain Security</t>
  </si>
  <si>
    <t xml:space="preserve">Model Access Control</t>
  </si>
  <si>
    <t xml:space="preserve">Zero‑Trust access with continuous authentication and risk scoring.</t>
  </si>
  <si>
    <t xml:space="preserve">Dynamic access revocation.</t>
  </si>
  <si>
    <t xml:space="preserve">Role‑based access enforced across all models.</t>
  </si>
  <si>
    <t xml:space="preserve">RBAC for inference endpoints.</t>
  </si>
  <si>
    <t xml:space="preserve">Access control policies documented.</t>
  </si>
  <si>
    <t xml:space="preserve">Access matrix for models.</t>
  </si>
  <si>
    <t xml:space="preserve">Some access controls exist.</t>
  </si>
  <si>
    <t xml:space="preserve">API keys per team.</t>
  </si>
  <si>
    <t xml:space="preserve">No access control.</t>
  </si>
  <si>
    <t xml:space="preserve">Anyone can query models.</t>
  </si>
  <si>
    <t xml:space="preserve">Total Model Access Control</t>
  </si>
  <si>
    <t xml:space="preserve">Prompt Injection Defense</t>
  </si>
  <si>
    <t xml:space="preserve">Autonomous detection and blocking of direct/indirect prompt injection using AI‑native Zero Trust.</t>
  </si>
  <si>
    <t xml:space="preserve">System auto‑isolates malicious prompt patterns.</t>
  </si>
  <si>
    <t xml:space="preserve">ML‑based detection of injection attempts with automated alerts.</t>
  </si>
  <si>
    <t xml:space="preserve">Behavioral prompt anomaly detection.</t>
  </si>
  <si>
    <t xml:space="preserve">Standardized prompt validation and sanitization pipeline.</t>
  </si>
  <si>
    <t xml:space="preserve">Context filtering, allow/deny lists.</t>
  </si>
  <si>
    <t xml:space="preserve">Basic keyword‑based filtering.</t>
  </si>
  <si>
    <t xml:space="preserve">Regex for “ignore previous instructions”.</t>
  </si>
  <si>
    <t xml:space="preserve">Model accepts any prompt.</t>
  </si>
  <si>
    <t xml:space="preserve">Total Prompt Injection Defense</t>
  </si>
  <si>
    <t xml:space="preserve">Output Hardening</t>
  </si>
  <si>
    <t xml:space="preserve">Autonomous output filtering, redaction, and safety scoring.</t>
  </si>
  <si>
    <t xml:space="preserve">Auto‑blocking harmful outputs.</t>
  </si>
  <si>
    <t xml:space="preserve">ML‑based output moderation with continuous tuning.</t>
  </si>
  <si>
    <t xml:space="preserve">Toxicity classifier + human review.</t>
  </si>
  <si>
    <t xml:space="preserve">Standardized output validation rules.</t>
  </si>
  <si>
    <t xml:space="preserve">Safety filters for PII, harmful content.</t>
  </si>
  <si>
    <t xml:space="preserve">Basic output checks.</t>
  </si>
  <si>
    <t xml:space="preserve">Simple profanity filter.</t>
  </si>
  <si>
    <t xml:space="preserve">No output controls.</t>
  </si>
  <si>
    <t xml:space="preserve">Model outputs unsafe content.</t>
  </si>
  <si>
    <t xml:space="preserve">Total Output Hardening</t>
  </si>
  <si>
    <t xml:space="preserve">Hallucination Mitigation</t>
  </si>
  <si>
    <t xml:space="preserve">Automated fact‑checking and retrieval‑augmented validation.</t>
  </si>
  <si>
    <t xml:space="preserve">RAG pipeline auto‑corrects hallucinations.</t>
  </si>
  <si>
    <t xml:space="preserve">Continuous monitoring of hallucination rates.</t>
  </si>
  <si>
    <t xml:space="preserve">Hallucination KPI dashboard.</t>
  </si>
  <si>
    <t xml:space="preserve">Documented hallucination controls.</t>
  </si>
  <si>
    <t xml:space="preserve">Retrieval‑augmented generation (RAG).</t>
  </si>
  <si>
    <t xml:space="preserve">Some mitigation techniques used inconsistently.</t>
  </si>
  <si>
    <t xml:space="preserve">Prompt engineering for accuracy.</t>
  </si>
  <si>
    <t xml:space="preserve">No hallucination controls.</t>
  </si>
  <si>
    <t xml:space="preserve">Model fabricates facts.</t>
  </si>
  <si>
    <t xml:space="preserve">Total Hallucination Mitigation</t>
  </si>
  <si>
    <t xml:space="preserve">Data Leakage Prevention</t>
  </si>
  <si>
    <t xml:space="preserve">Autonomous detection and blocking of sensitive data in prompts and outputs.</t>
  </si>
  <si>
    <t xml:space="preserve">Auto‑redaction of PII in real time.</t>
  </si>
  <si>
    <t xml:space="preserve">Continuous monitoring for leakage patterns.</t>
  </si>
  <si>
    <t xml:space="preserve">Alerts for sensitive data exposure.</t>
  </si>
  <si>
    <t xml:space="preserve">Standardized DLP rules for LLMs.</t>
  </si>
  <si>
    <t xml:space="preserve">PII scanning in prompts.</t>
  </si>
  <si>
    <t xml:space="preserve">Partial DLP controls.</t>
  </si>
  <si>
    <t xml:space="preserve">No DLP controls.</t>
  </si>
  <si>
    <t xml:space="preserve">Model leaks internal data.</t>
  </si>
  <si>
    <t xml:space="preserve">Total Data Leakage Prevention</t>
  </si>
  <si>
    <t xml:space="preserve">Tool‑Use Security</t>
  </si>
  <si>
    <t xml:space="preserve">Autonomous risk scoring of tool calls with dynamic privilege adjustment.</t>
  </si>
  <si>
    <t xml:space="preserve">Agent loses access if behavior becomes risky.</t>
  </si>
  <si>
    <t xml:space="preserve">Continuous monitoring of tool usage.</t>
  </si>
  <si>
    <t xml:space="preserve">Alerts for unusual tool invocation patterns.</t>
  </si>
  <si>
    <t xml:space="preserve">Role‑based tool access and guardrails.</t>
  </si>
  <si>
    <t xml:space="preserve">Agent can only call approved tools.</t>
  </si>
  <si>
    <t xml:space="preserve">Basic tool restrictions.</t>
  </si>
  <si>
    <t xml:space="preserve">Hardcoded allow‑list.</t>
  </si>
  <si>
    <t xml:space="preserve">No tool‑use controls.</t>
  </si>
  <si>
    <t xml:space="preserve">Agent can execute any tool.</t>
  </si>
  <si>
    <t xml:space="preserve">Total Tool Use Security</t>
  </si>
  <si>
    <t xml:space="preserve">Agent Memory Security</t>
  </si>
  <si>
    <t xml:space="preserve">Zero‑Trust memory segmentation with autonomous poisoning detection.</t>
  </si>
  <si>
    <t xml:space="preserve">Memory auto‑cleans malicious entries.</t>
  </si>
  <si>
    <t xml:space="preserve">Continuous monitoring of memory integrity.</t>
  </si>
  <si>
    <t xml:space="preserve">Alerts for suspicious memory updates.</t>
  </si>
  <si>
    <t xml:space="preserve">Standardized memory sanitization pipeline.</t>
  </si>
  <si>
    <t xml:space="preserve">Validation before writing to memory.</t>
  </si>
  <si>
    <t xml:space="preserve">Partial memory controls.</t>
  </si>
  <si>
    <t xml:space="preserve">Manual memory review.</t>
  </si>
  <si>
    <t xml:space="preserve">No memory protections.</t>
  </si>
  <si>
    <t xml:space="preserve">Agent stores untrusted data.</t>
  </si>
  <si>
    <t xml:space="preserve">Total Agent Memory Security</t>
  </si>
  <si>
    <t xml:space="preserve">Agent Autonomy Controls</t>
  </si>
  <si>
    <t xml:space="preserve">Autonomous risk‑based throttling of agent autonomy.</t>
  </si>
  <si>
    <t xml:space="preserve">Agent autonomy reduced during anomalies.</t>
  </si>
  <si>
    <t xml:space="preserve">Autonomy levels monitored and governed.</t>
  </si>
  <si>
    <t xml:space="preserve">Autonomy KPI dashboard.</t>
  </si>
  <si>
    <t xml:space="preserve">Documented autonomy levels and policies.</t>
  </si>
  <si>
    <t xml:space="preserve">Tiered autonomy model.</t>
  </si>
  <si>
    <t xml:space="preserve">Some autonomy restrictions.</t>
  </si>
  <si>
    <t xml:space="preserve">Hardcoded limits.</t>
  </si>
  <si>
    <t xml:space="preserve">No autonomy controls.</t>
  </si>
  <si>
    <t xml:space="preserve">Agent can act freely.</t>
  </si>
  <si>
    <t xml:space="preserve">Total Agent Autonomy Controls</t>
  </si>
  <si>
    <t xml:space="preserve">Agent Sandbox &amp; Isolation</t>
  </si>
  <si>
    <t xml:space="preserve">Zero‑Trust execution environment with autonomous isolation.</t>
  </si>
  <si>
    <t xml:space="preserve">Agent auto‑sandboxed during risky behavior.</t>
  </si>
  <si>
    <t xml:space="preserve">Continuous monitoring of agent execution.</t>
  </si>
  <si>
    <t xml:space="preserve">Standardized sandboxing for all agents.</t>
  </si>
  <si>
    <t xml:space="preserve">Containerized agent execution.</t>
  </si>
  <si>
    <t xml:space="preserve">Some agents run in isolated VMs.</t>
  </si>
  <si>
    <t xml:space="preserve">Agents run with full system access.</t>
  </si>
  <si>
    <t xml:space="preserve">Total Agent Sandbox Isolation</t>
  </si>
  <si>
    <t xml:space="preserve">LLM/Agent Safety</t>
  </si>
  <si>
    <t xml:space="preserve">Safety Guardrails</t>
  </si>
  <si>
    <t xml:space="preserve">Autonomous guardrail enforcement with dynamic policy adaptation.</t>
  </si>
  <si>
    <t xml:space="preserve">Guardrails adjust based on context.</t>
  </si>
  <si>
    <t xml:space="preserve">Continuous monitoring of guardrail effectiveness.</t>
  </si>
  <si>
    <t xml:space="preserve">Safety KPI dashboard.</t>
  </si>
  <si>
    <t xml:space="preserve">Standardized guardrails across all LLMs/agents.</t>
  </si>
  <si>
    <t xml:space="preserve">Safety policies in prompt templates.</t>
  </si>
  <si>
    <t xml:space="preserve">Partial guardrails.</t>
  </si>
  <si>
    <t xml:space="preserve">Hardcoded safety prompts.</t>
  </si>
  <si>
    <t xml:space="preserve">No guardrails.</t>
  </si>
  <si>
    <t xml:space="preserve">Model outputs unsafe actions.</t>
  </si>
  <si>
    <t xml:space="preserve">Total Safety Guardrails</t>
  </si>
  <si>
    <t xml:space="preserve">ATLAS Tactic Coverage</t>
  </si>
  <si>
    <t xml:space="preserve">ATLAS Tactic</t>
  </si>
  <si>
    <t xml:space="preserve">Reconnaissance Defense</t>
  </si>
  <si>
    <t xml:space="preserve">Autonomous detection of reconnaissance patterns with automated blocking.</t>
  </si>
  <si>
    <t xml:space="preserve">Auto‑blocking repeated probing queries.</t>
  </si>
  <si>
    <t xml:space="preserve">Continuous monitoring for reconnaissance attempts.</t>
  </si>
  <si>
    <t xml:space="preserve">Alerts for unusual metadata requests.</t>
  </si>
  <si>
    <t xml:space="preserve">Documented defenses against reconnaissance.</t>
  </si>
  <si>
    <t xml:space="preserve">Rate limits, metadata suppression.</t>
  </si>
  <si>
    <t xml:space="preserve">Partial protections.</t>
  </si>
  <si>
    <t xml:space="preserve">Basic throttling.</t>
  </si>
  <si>
    <t xml:space="preserve">System reveals model details freely.</t>
  </si>
  <si>
    <t xml:space="preserve">Total Reconnaissance Defense</t>
  </si>
  <si>
    <t xml:space="preserve">Initial Access Defense</t>
  </si>
  <si>
    <t xml:space="preserve">Strong authentication and monitoring.</t>
  </si>
  <si>
    <t xml:space="preserve">MFA + behavioral analytics.</t>
  </si>
  <si>
    <t xml:space="preserve">Documented access control policies.</t>
  </si>
  <si>
    <t xml:space="preserve">RBAC for AI endpoints.</t>
  </si>
  <si>
    <t xml:space="preserve">Basic access controls.</t>
  </si>
  <si>
    <t xml:space="preserve">API keys.</t>
  </si>
  <si>
    <t xml:space="preserve">No access controls.</t>
  </si>
  <si>
    <t xml:space="preserve">Open inference endpoints.</t>
  </si>
  <si>
    <t xml:space="preserve">Total Initial Access Defense</t>
  </si>
  <si>
    <t xml:space="preserve">Execution Defense</t>
  </si>
  <si>
    <t xml:space="preserve">Autonomous detection and containment of malicious execution.</t>
  </si>
  <si>
    <t xml:space="preserve">Auto‑sandboxing malicious actions.</t>
  </si>
  <si>
    <t xml:space="preserve">Continuous monitoring of execution behavior.</t>
  </si>
  <si>
    <t xml:space="preserve">Alerts for abnormal inference patterns.</t>
  </si>
  <si>
    <t xml:space="preserve">Standardized execution controls.</t>
  </si>
  <si>
    <t xml:space="preserve">Execution allow/deny lists.</t>
  </si>
  <si>
    <t xml:space="preserve">Partial execution controls.</t>
  </si>
  <si>
    <t xml:space="preserve">Some commands blocked.</t>
  </si>
  <si>
    <t xml:space="preserve">No execution controls.</t>
  </si>
  <si>
    <t xml:space="preserve">Any action allowed.</t>
  </si>
  <si>
    <t xml:space="preserve">Total Execution Defense</t>
  </si>
  <si>
    <t xml:space="preserve">Persistence Defense</t>
  </si>
  <si>
    <t xml:space="preserve">Autonomous detection of persistent footholds.</t>
  </si>
  <si>
    <t xml:space="preserve">Auto‑revocation of suspicious tokens.</t>
  </si>
  <si>
    <t xml:space="preserve">Continuous monitoring for persistence indicators.</t>
  </si>
  <si>
    <t xml:space="preserve">Alerts for long‑lived sessions.</t>
  </si>
  <si>
    <t xml:space="preserve">Documented persistence defenses.</t>
  </si>
  <si>
    <t xml:space="preserve">Token rotation policies.</t>
  </si>
  <si>
    <t xml:space="preserve">Partial persistence controls.</t>
  </si>
  <si>
    <t xml:space="preserve">Manual token cleanup.</t>
  </si>
  <si>
    <t xml:space="preserve">No persistence controls.</t>
  </si>
  <si>
    <t xml:space="preserve">Tokens never expire.</t>
  </si>
  <si>
    <t xml:space="preserve">Total Persistence Defense</t>
  </si>
  <si>
    <t xml:space="preserve">Privilege Escalation Defense</t>
  </si>
  <si>
    <t xml:space="preserve">Autonomous privilege reduction based on risk.</t>
  </si>
  <si>
    <t xml:space="preserve">Auto‑downgrading suspicious accounts.</t>
  </si>
  <si>
    <t xml:space="preserve">Continuous monitoring of privilege changes.</t>
  </si>
  <si>
    <t xml:space="preserve">Alerts for privilege anomalies.</t>
  </si>
  <si>
    <t xml:space="preserve">Standardized privilege policies.</t>
  </si>
  <si>
    <t xml:space="preserve">RBAC + least privilege.</t>
  </si>
  <si>
    <t xml:space="preserve">Partial privilege controls.</t>
  </si>
  <si>
    <t xml:space="preserve">Manual privilege reviews.</t>
  </si>
  <si>
    <t xml:space="preserve">No privilege controls.</t>
  </si>
  <si>
    <t xml:space="preserve">All users have admin access.</t>
  </si>
  <si>
    <t xml:space="preserve">Total Privilege Escalation Defense</t>
  </si>
  <si>
    <t xml:space="preserve">Defense Evasion</t>
  </si>
  <si>
    <t xml:space="preserve">Autonomous detection of evasion patterns.</t>
  </si>
  <si>
    <t xml:space="preserve">Auto‑flagging obfuscated prompts.</t>
  </si>
  <si>
    <t xml:space="preserve">Continuous monitoring for evasion attempts.</t>
  </si>
  <si>
    <t xml:space="preserve">Alerts for bypass attempts.</t>
  </si>
  <si>
    <t xml:space="preserve">Documented evasion defenses.</t>
  </si>
  <si>
    <t xml:space="preserve">Prompt normalization.</t>
  </si>
  <si>
    <t xml:space="preserve">Partial defenses.</t>
  </si>
  <si>
    <t xml:space="preserve">Basic pattern checks.</t>
  </si>
  <si>
    <t xml:space="preserve">No defenses.</t>
  </si>
  <si>
    <t xml:space="preserve">Evasion attempts succeed.</t>
  </si>
  <si>
    <t xml:space="preserve">Total Defense Evasion</t>
  </si>
  <si>
    <t xml:space="preserve">Credential Access</t>
  </si>
  <si>
    <t xml:space="preserve">Autonomous detection of credential theft attempts.</t>
  </si>
  <si>
    <t xml:space="preserve">Auto‑revocation of compromised keys.</t>
  </si>
  <si>
    <t xml:space="preserve">Continuous monitoring of credential usage.</t>
  </si>
  <si>
    <t xml:space="preserve">Alerts for unusual API key use.</t>
  </si>
  <si>
    <t xml:space="preserve">Standardized credential security.</t>
  </si>
  <si>
    <t xml:space="preserve">Key rotation, vaulting.</t>
  </si>
  <si>
    <t xml:space="preserve">Partial credential controls.</t>
  </si>
  <si>
    <t xml:space="preserve">Manual key rotation.</t>
  </si>
  <si>
    <t xml:space="preserve">No credential protections.</t>
  </si>
  <si>
    <t xml:space="preserve">Keys stored in plaintext.</t>
  </si>
  <si>
    <t xml:space="preserve">Total Credential Access</t>
  </si>
  <si>
    <t xml:space="preserve">Discovery Defense</t>
  </si>
  <si>
    <t xml:space="preserve">Autonomous detection of discovery attempts.</t>
  </si>
  <si>
    <t xml:space="preserve">Auto‑blocking enumeration patterns.</t>
  </si>
  <si>
    <t xml:space="preserve">Continuous monitoring for discovery behavior.</t>
  </si>
  <si>
    <t xml:space="preserve">Alerts for probing queries.</t>
  </si>
  <si>
    <t xml:space="preserve">Documented discovery defenses.</t>
  </si>
  <si>
    <t xml:space="preserve">Suppression of system metadata.</t>
  </si>
  <si>
    <t xml:space="preserve">Basic metadata hiding.</t>
  </si>
  <si>
    <t xml:space="preserve">System reveals architecture details.</t>
  </si>
  <si>
    <t xml:space="preserve">Total Discovery Defense</t>
  </si>
  <si>
    <t xml:space="preserve">Lateral Movement</t>
  </si>
  <si>
    <t xml:space="preserve">Autonomous segmentation and isolation of AI components.</t>
  </si>
  <si>
    <t xml:space="preserve">Auto‑blocking cross‑system access.</t>
  </si>
  <si>
    <t xml:space="preserve">Continuous monitoring for lateral movement.</t>
  </si>
  <si>
    <t xml:space="preserve">Alerts for cross‑service anomalies.</t>
  </si>
  <si>
    <t xml:space="preserve">Segmented AI architecture.</t>
  </si>
  <si>
    <t xml:space="preserve">Separate inference and training networks.</t>
  </si>
  <si>
    <t xml:space="preserve">Partial segmentation.</t>
  </si>
  <si>
    <t xml:space="preserve">Some network boundaries.</t>
  </si>
  <si>
    <t xml:space="preserve">No segmentation.</t>
  </si>
  <si>
    <t xml:space="preserve">Flat network.</t>
  </si>
  <si>
    <t xml:space="preserve">Total Lateral Movement</t>
  </si>
  <si>
    <t xml:space="preserve">Collection Defense</t>
  </si>
  <si>
    <t xml:space="preserve">Autonomous detection of data exfiltration patterns.</t>
  </si>
  <si>
    <t xml:space="preserve">Auto‑blocking large data pulls.</t>
  </si>
  <si>
    <t xml:space="preserve">Continuous monitoring for data collection anomalies.</t>
  </si>
  <si>
    <t xml:space="preserve">Alerts for bulk inference queries.</t>
  </si>
  <si>
    <t xml:space="preserve">Documented data collection controls.</t>
  </si>
  <si>
    <t xml:space="preserve">Query rate limits.</t>
  </si>
  <si>
    <t xml:space="preserve">Partial controls.</t>
  </si>
  <si>
    <t xml:space="preserve">No controls.</t>
  </si>
  <si>
    <t xml:space="preserve">Unlimited data extraction.</t>
  </si>
  <si>
    <t xml:space="preserve">Total Collection Defense</t>
  </si>
  <si>
    <t xml:space="preserve">Exfiltration Defense</t>
  </si>
  <si>
    <t xml:space="preserve">Autonomous detection and blocking of exfiltration attempts.</t>
  </si>
  <si>
    <t xml:space="preserve">Auto‑blocking suspicious downloads.</t>
  </si>
  <si>
    <t xml:space="preserve">Continuous monitoring for exfiltration patterns.</t>
  </si>
  <si>
    <t xml:space="preserve">Alerts for large model exports.</t>
  </si>
  <si>
    <t xml:space="preserve">Standardized exfiltration controls.</t>
  </si>
  <si>
    <t xml:space="preserve">Encryption, access logs.</t>
  </si>
  <si>
    <t xml:space="preserve">Manual approval for exports.</t>
  </si>
  <si>
    <t xml:space="preserve">Anyone can export models.</t>
  </si>
  <si>
    <t xml:space="preserve">Total Exfiltration Defense</t>
  </si>
  <si>
    <t xml:space="preserve">Impact Defense</t>
  </si>
  <si>
    <t xml:space="preserve">Autonomous mitigation of harmful impacts.</t>
  </si>
  <si>
    <t xml:space="preserve">Auto‑rollback after harmful outputs.</t>
  </si>
  <si>
    <t xml:space="preserve">Continuous monitoring of impact indicators.</t>
  </si>
  <si>
    <t xml:space="preserve">Alerts for harmful model behavior.</t>
  </si>
  <si>
    <t xml:space="preserve">Documented impact mitigation processes.</t>
  </si>
  <si>
    <t xml:space="preserve">Safety guardrails.</t>
  </si>
  <si>
    <t xml:space="preserve">Partial impact controls.</t>
  </si>
  <si>
    <t xml:space="preserve">Manual review of harmful outputs.</t>
  </si>
  <si>
    <t xml:space="preserve">No impact controls.</t>
  </si>
  <si>
    <t xml:space="preserve">Harmful outputs go unnoticed.</t>
  </si>
  <si>
    <t xml:space="preserve">Total Impact Defense</t>
  </si>
  <si>
    <t xml:space="preserve">Model Manipulation Defense</t>
  </si>
  <si>
    <t xml:space="preserve">Autonomous detection of manipulation attempts.</t>
  </si>
  <si>
    <t xml:space="preserve">Auto‑flagging adversarial prompts.</t>
  </si>
  <si>
    <t xml:space="preserve">Continuous monitoring for manipulation.</t>
  </si>
  <si>
    <t xml:space="preserve">Alerts for adversarial inputs.</t>
  </si>
  <si>
    <t xml:space="preserve">Documented manipulation defenses.</t>
  </si>
  <si>
    <t xml:space="preserve">Adversarial training.</t>
  </si>
  <si>
    <t xml:space="preserve">Basic input validation.</t>
  </si>
  <si>
    <t xml:space="preserve">Model easily manipulated.</t>
  </si>
  <si>
    <t xml:space="preserve">Total Model Manipulation Defense</t>
  </si>
  <si>
    <t xml:space="preserve">Model Degradation Defense</t>
  </si>
  <si>
    <t xml:space="preserve">Autonomous detection and mitigation of degradation.</t>
  </si>
  <si>
    <t xml:space="preserve">Auto‑retraining after degradation.</t>
  </si>
  <si>
    <t xml:space="preserve">Continuous monitoring of degradation indicators.</t>
  </si>
  <si>
    <t xml:space="preserve">Drift + performance dashboards.</t>
  </si>
  <si>
    <t xml:space="preserve">Documented degradation controls.</t>
  </si>
  <si>
    <t xml:space="preserve">Performance thresholds.</t>
  </si>
  <si>
    <t xml:space="preserve">Manual performance checks.</t>
  </si>
  <si>
    <t xml:space="preserve">Degradation unnoticed.</t>
  </si>
  <si>
    <t xml:space="preserve">Total Model Degradation Defense</t>
  </si>
  <si>
    <t xml:space="preserve">ATLAS Mitigation</t>
  </si>
  <si>
    <t xml:space="preserve">Adversarial Training</t>
  </si>
  <si>
    <t xml:space="preserve">Continuous adversarial retraining with automated generation of adversarial examples.</t>
  </si>
  <si>
    <t xml:space="preserve">Auto‑generated adversarial samples.</t>
  </si>
  <si>
    <t xml:space="preserve">Regular adversarial testing and retraining.</t>
  </si>
  <si>
    <t xml:space="preserve">Quarterly adversarial robustness tests.</t>
  </si>
  <si>
    <t xml:space="preserve">Documented adversarial training procedures.</t>
  </si>
  <si>
    <t xml:space="preserve">FGSM, PGD training.</t>
  </si>
  <si>
    <t xml:space="preserve">Partial adversarial training.</t>
  </si>
  <si>
    <t xml:space="preserve">One model hardened.</t>
  </si>
  <si>
    <t xml:space="preserve">No adversarial training.</t>
  </si>
  <si>
    <t xml:space="preserve">Model vulnerable to simple attacks.</t>
  </si>
  <si>
    <t xml:space="preserve">Total Adversarial Training</t>
  </si>
  <si>
    <t xml:space="preserve">Input Validation</t>
  </si>
  <si>
    <t xml:space="preserve">Autonomous input sanitization with AI‑native Zero Trust.</t>
  </si>
  <si>
    <t xml:space="preserve">Auto‑blocking malicious prompts.</t>
  </si>
  <si>
    <t xml:space="preserve">ML‑based input anomaly detection.</t>
  </si>
  <si>
    <t xml:space="preserve">Behavioral input classifier.</t>
  </si>
  <si>
    <t xml:space="preserve">Standardized input validation rules.</t>
  </si>
  <si>
    <t xml:space="preserve">Allow/deny lists.</t>
  </si>
  <si>
    <t xml:space="preserve">Basic validation.</t>
  </si>
  <si>
    <t xml:space="preserve">Regex filtering.</t>
  </si>
  <si>
    <t xml:space="preserve">No validation.</t>
  </si>
  <si>
    <t xml:space="preserve">Any input accepted.</t>
  </si>
  <si>
    <t xml:space="preserve">Total Input Validation</t>
  </si>
  <si>
    <t xml:space="preserve">Data Sanitization</t>
  </si>
  <si>
    <t xml:space="preserve">Fully automated sanitization with anomaly detection and poisoning defense.</t>
  </si>
  <si>
    <t xml:space="preserve">Auto‑flagging poisoned samples.</t>
  </si>
  <si>
    <t xml:space="preserve">Continuous monitoring of data quality.</t>
  </si>
  <si>
    <t xml:space="preserve">Drift + anomaly alerts.</t>
  </si>
  <si>
    <t xml:space="preserve">Standardized sanitization pipeline.</t>
  </si>
  <si>
    <t xml:space="preserve">Outlier removal, deduplication.</t>
  </si>
  <si>
    <t xml:space="preserve">Partial sanitization.</t>
  </si>
  <si>
    <t xml:space="preserve">Manual dataset review.</t>
  </si>
  <si>
    <t xml:space="preserve">No sanitization.</t>
  </si>
  <si>
    <t xml:space="preserve">Raw data used directly.</t>
  </si>
  <si>
    <t xml:space="preserve">Total Data Sanitization</t>
  </si>
  <si>
    <t xml:space="preserve">Data Label Verification</t>
  </si>
  <si>
    <t xml:space="preserve">Automated label validation using ML + human‑in‑the‑loop escalation.</t>
  </si>
  <si>
    <t xml:space="preserve">Auto‑flag mislabeled samples.</t>
  </si>
  <si>
    <t xml:space="preserve">Continuous monitoring of label integrity.</t>
  </si>
  <si>
    <t xml:space="preserve">Label drift alerts.</t>
  </si>
  <si>
    <t xml:space="preserve">Standardized label QA processes.</t>
  </si>
  <si>
    <t xml:space="preserve">Dual‑annotator workflow.</t>
  </si>
  <si>
    <t xml:space="preserve">Partial label checks.</t>
  </si>
  <si>
    <t xml:space="preserve">Spot‑checking labels.</t>
  </si>
  <si>
    <t xml:space="preserve">No label verification.</t>
  </si>
  <si>
    <t xml:space="preserve">Labels taken at face value.</t>
  </si>
  <si>
    <t xml:space="preserve">Total Data Label Verification</t>
  </si>
  <si>
    <t xml:space="preserve">Data Provenance Tracking</t>
  </si>
  <si>
    <t xml:space="preserve">Automated provenance tracking with immutable lineage.</t>
  </si>
  <si>
    <t xml:space="preserve">Blockchain‑backed lineage.</t>
  </si>
  <si>
    <t xml:space="preserve">Continuous monitoring of data sources.</t>
  </si>
  <si>
    <t xml:space="preserve">Alerts for untrusted sources.</t>
  </si>
  <si>
    <t xml:space="preserve">Documented provenance requirements.</t>
  </si>
  <si>
    <t xml:space="preserve">Source metadata stored in registry.</t>
  </si>
  <si>
    <t xml:space="preserve">Partial provenance tracking.</t>
  </si>
  <si>
    <t xml:space="preserve">Some datasets tagged manually.</t>
  </si>
  <si>
    <t xml:space="preserve">No provenance tracking.</t>
  </si>
  <si>
    <t xml:space="preserve">Unknown data origins.</t>
  </si>
  <si>
    <t xml:space="preserve">Total Data Provenance Tracking</t>
  </si>
  <si>
    <t xml:space="preserve">Secure Data Storage</t>
  </si>
  <si>
    <t xml:space="preserve">Autonomous encryption, key rotation, and access scoring.</t>
  </si>
  <si>
    <t xml:space="preserve">Auto‑revoking risky access.</t>
  </si>
  <si>
    <t xml:space="preserve">Continuous monitoring of data access.</t>
  </si>
  <si>
    <t xml:space="preserve">Alerts for unusual reads.</t>
  </si>
  <si>
    <t xml:space="preserve">Standardized encryption and access policies.</t>
  </si>
  <si>
    <t xml:space="preserve">KMS + RBAC.</t>
  </si>
  <si>
    <t xml:space="preserve">Partial encryption.</t>
  </si>
  <si>
    <t xml:space="preserve">Some datasets encrypted.</t>
  </si>
  <si>
    <t xml:space="preserve">No secure storage.</t>
  </si>
  <si>
    <t xml:space="preserve">Plaintext training data.</t>
  </si>
  <si>
    <t xml:space="preserve">Training Pipeline Integrity</t>
  </si>
  <si>
    <t xml:space="preserve">Autonomous integrity verification with rollback.</t>
  </si>
  <si>
    <t xml:space="preserve">Auto‑rollback on pipeline tampering.</t>
  </si>
  <si>
    <t xml:space="preserve">Continuous monitoring of pipeline integrity.</t>
  </si>
  <si>
    <t xml:space="preserve">Alerts for unauthorized changes.</t>
  </si>
  <si>
    <t xml:space="preserve">Standardized pipeline security controls.</t>
  </si>
  <si>
    <t xml:space="preserve">Signed training jobs.</t>
  </si>
  <si>
    <t xml:space="preserve">Manual pipeline checks.</t>
  </si>
  <si>
    <t xml:space="preserve">No integrity controls.</t>
  </si>
  <si>
    <t xml:space="preserve">Anyone can modify training code.</t>
  </si>
  <si>
    <t xml:space="preserve">Total Training Pipeline Integrity</t>
  </si>
  <si>
    <t xml:space="preserve">Model Validation &amp; Testing</t>
  </si>
  <si>
    <t xml:space="preserve">Autonomous validation with safety, robustness, and fairness scoring.</t>
  </si>
  <si>
    <t xml:space="preserve">Auto‑blocking unsafe models.</t>
  </si>
  <si>
    <t xml:space="preserve">Continuous validation with dashboards.</t>
  </si>
  <si>
    <t xml:space="preserve">Safety + robustness KPIs.</t>
  </si>
  <si>
    <t xml:space="preserve">Standardized validation suite.</t>
  </si>
  <si>
    <t xml:space="preserve">Unit tests, adversarial tests.</t>
  </si>
  <si>
    <t xml:space="preserve">Partial validation.</t>
  </si>
  <si>
    <t xml:space="preserve">Manual testing.</t>
  </si>
  <si>
    <t xml:space="preserve">Models deployed untested.</t>
  </si>
  <si>
    <t xml:space="preserve">Total Model Validation/Testing</t>
  </si>
  <si>
    <t xml:space="preserve">Automated adversarial robustness testing and continuous hardening.</t>
  </si>
  <si>
    <t xml:space="preserve">Regular robustness evaluations.</t>
  </si>
  <si>
    <t xml:space="preserve">Quarterly adversarial testing.</t>
  </si>
  <si>
    <t xml:space="preserve">Documented hardening techniques.</t>
  </si>
  <si>
    <t xml:space="preserve">Model Watermarking</t>
  </si>
  <si>
    <t xml:space="preserve">Automated watermarking with tamper‑resistant verification.</t>
  </si>
  <si>
    <t xml:space="preserve">Watermark survives adversarial removal.</t>
  </si>
  <si>
    <t xml:space="preserve">Continuous monitoring for watermark integrity.</t>
  </si>
  <si>
    <t xml:space="preserve">Alerts for watermark anomalies.</t>
  </si>
  <si>
    <t xml:space="preserve">Standardized watermarking process.</t>
  </si>
  <si>
    <t xml:space="preserve">Embedded signature in model weights.</t>
  </si>
  <si>
    <t xml:space="preserve">Partial watermarking.</t>
  </si>
  <si>
    <t xml:space="preserve">Only some models watermarked.</t>
  </si>
  <si>
    <t xml:space="preserve">No watermarking.</t>
  </si>
  <si>
    <t xml:space="preserve">No way to detect model theft.</t>
  </si>
  <si>
    <t xml:space="preserve">Total Model Watermarking</t>
  </si>
  <si>
    <t xml:space="preserve">Model Explainability</t>
  </si>
  <si>
    <t xml:space="preserve">Automated explainability scoring and continuous transparency checks.</t>
  </si>
  <si>
    <t xml:space="preserve">Auto‑flagging unexplained decisions.</t>
  </si>
  <si>
    <t xml:space="preserve">Continuous monitoring of explainability metrics.</t>
  </si>
  <si>
    <t xml:space="preserve">Explainability dashboards.</t>
  </si>
  <si>
    <t xml:space="preserve">Standardized explainability methods.</t>
  </si>
  <si>
    <t xml:space="preserve">SHAP, LIME, attention maps.</t>
  </si>
  <si>
    <t xml:space="preserve">Partial explainability.</t>
  </si>
  <si>
    <t xml:space="preserve">Some models have explanations.</t>
  </si>
  <si>
    <t xml:space="preserve">No explainability.</t>
  </si>
  <si>
    <t xml:space="preserve">Black‑box models with no insight.</t>
  </si>
  <si>
    <t xml:space="preserve">Total Model Explainability</t>
  </si>
  <si>
    <t xml:space="preserve">Model Robustness Testing</t>
  </si>
  <si>
    <t xml:space="preserve">Autonomous robustness testing with continuous updates.</t>
  </si>
  <si>
    <t xml:space="preserve">Auto‑generated stress tests.</t>
  </si>
  <si>
    <t xml:space="preserve">Quarterly robustness reports.</t>
  </si>
  <si>
    <t xml:space="preserve">Standardized robustness testing suite.</t>
  </si>
  <si>
    <t xml:space="preserve">Noise, perturbation, adversarial tests.</t>
  </si>
  <si>
    <t xml:space="preserve">Partial robustness testing.</t>
  </si>
  <si>
    <t xml:space="preserve">Manual stress tests.</t>
  </si>
  <si>
    <t xml:space="preserve">No robustness testing.</t>
  </si>
  <si>
    <t xml:space="preserve">Model fails under simple perturbations.</t>
  </si>
  <si>
    <t xml:space="preserve">Total Model Robustness Testing</t>
  </si>
  <si>
    <t xml:space="preserve">Zero‑Trust access with continuous risk scoring.</t>
  </si>
  <si>
    <t xml:space="preserve">Continuous monitoring of access patterns.</t>
  </si>
  <si>
    <t xml:space="preserve">Alerts for unusual inference usage.</t>
  </si>
  <si>
    <t xml:space="preserve">Standardized RBAC/ABAC for models.</t>
  </si>
  <si>
    <t xml:space="preserve">Role‑based inference access.</t>
  </si>
  <si>
    <t xml:space="preserve">Partial access controls.</t>
  </si>
  <si>
    <t xml:space="preserve">Inference Rate Limiting</t>
  </si>
  <si>
    <t xml:space="preserve">Adaptive rate limiting based on risk scoring.</t>
  </si>
  <si>
    <t xml:space="preserve">Auto‑throttling suspicious users.</t>
  </si>
  <si>
    <t xml:space="preserve">Continuous monitoring of inference volume.</t>
  </si>
  <si>
    <t xml:space="preserve">Alerts for extraction‑like patterns.</t>
  </si>
  <si>
    <t xml:space="preserve">Standardized rate limits.</t>
  </si>
  <si>
    <t xml:space="preserve">Per‑user/per‑IP quotas.</t>
  </si>
  <si>
    <t xml:space="preserve">Basic rate limits.</t>
  </si>
  <si>
    <t xml:space="preserve">Simple per‑minute caps.</t>
  </si>
  <si>
    <t xml:space="preserve">No rate limits.</t>
  </si>
  <si>
    <t xml:space="preserve">Unlimited queries.</t>
  </si>
  <si>
    <t xml:space="preserve">Total Interference Rate Limiting</t>
  </si>
  <si>
    <t xml:space="preserve">Output Filtering</t>
  </si>
  <si>
    <t xml:space="preserve">Autonomous output moderation with dynamic policy adaptation.</t>
  </si>
  <si>
    <t xml:space="preserve">Continuous tuning of moderation models.</t>
  </si>
  <si>
    <t xml:space="preserve">Standardized output filtering rules.</t>
  </si>
  <si>
    <t xml:space="preserve">PII redaction, safety filters.</t>
  </si>
  <si>
    <t xml:space="preserve">Basic filtering.</t>
  </si>
  <si>
    <t xml:space="preserve">Profanity filter.</t>
  </si>
  <si>
    <t xml:space="preserve">No filtering.</t>
  </si>
  <si>
    <t xml:space="preserve">Total Output Filtering</t>
  </si>
  <si>
    <t xml:space="preserve">Secure Infrastructure Configuration</t>
  </si>
  <si>
    <t xml:space="preserve">Autonomous configuration scanning and auto‑remediation.</t>
  </si>
  <si>
    <t xml:space="preserve">Auto‑patching GPU nodes.</t>
  </si>
  <si>
    <t xml:space="preserve">Continuous monitoring of infra security posture.</t>
  </si>
  <si>
    <t xml:space="preserve">Alerts for insecure configs.</t>
  </si>
  <si>
    <t xml:space="preserve">Standardized hardening baselines.</t>
  </si>
  <si>
    <t xml:space="preserve">CIS‑aligned ML infra baselines.</t>
  </si>
  <si>
    <t xml:space="preserve">Some nodes hardened.</t>
  </si>
  <si>
    <t xml:space="preserve">Default insecure infra.</t>
  </si>
  <si>
    <t xml:space="preserve">Total Secure Infrastructure Configuration</t>
  </si>
  <si>
    <t xml:space="preserve">Network Segmentation</t>
  </si>
  <si>
    <t xml:space="preserve">Dynamic segmentation with autonomous isolation.</t>
  </si>
  <si>
    <t xml:space="preserve">Auto‑isolating compromised nodes.</t>
  </si>
  <si>
    <t xml:space="preserve">Continuous monitoring of network boundaries.</t>
  </si>
  <si>
    <t xml:space="preserve">Alerts for cross‑segment anomalies.</t>
  </si>
  <si>
    <t xml:space="preserve">Standardized segmentation architecture.</t>
  </si>
  <si>
    <t xml:space="preserve">Separate training/inference networks.</t>
  </si>
  <si>
    <t xml:space="preserve">Some VLANs or VPCs.</t>
  </si>
  <si>
    <t xml:space="preserve">Total Network Segmentation</t>
  </si>
  <si>
    <t xml:space="preserve">Runtime Monitoring</t>
  </si>
  <si>
    <t xml:space="preserve">Autonomous runtime anomaly detection with auto‑containment.</t>
  </si>
  <si>
    <t xml:space="preserve">Auto‑sandboxing suspicious inference.</t>
  </si>
  <si>
    <t xml:space="preserve">Continuous runtime monitoring.</t>
  </si>
  <si>
    <t xml:space="preserve">Alerts for abnormal outputs.</t>
  </si>
  <si>
    <t xml:space="preserve">Standardized runtime monitoring rules.</t>
  </si>
  <si>
    <t xml:space="preserve">Output scoring, drift detection.</t>
  </si>
  <si>
    <t xml:space="preserve">Partial runtime monitoring.</t>
  </si>
  <si>
    <t xml:space="preserve">Logs only some inference events.</t>
  </si>
  <si>
    <t xml:space="preserve">No runtime monitoring.</t>
  </si>
  <si>
    <t xml:space="preserve">No visibility into inference behavior.</t>
  </si>
  <si>
    <t xml:space="preserve">Total Runtime Monitoring</t>
  </si>
  <si>
    <t xml:space="preserve">Secure API Gateway</t>
  </si>
  <si>
    <t xml:space="preserve">AI‑aware API gateway with adaptive threat scoring.</t>
  </si>
  <si>
    <t xml:space="preserve">Auto‑blocking malicious prompt patterns.</t>
  </si>
  <si>
    <t xml:space="preserve">Continuous monitoring of API traffic.</t>
  </si>
  <si>
    <t xml:space="preserve">Alerts for extraction‑like behavior.</t>
  </si>
  <si>
    <t xml:space="preserve">Standardized API security controls.</t>
  </si>
  <si>
    <t xml:space="preserve">AuthN, AuthZ, rate limits.</t>
  </si>
  <si>
    <t xml:space="preserve">Basic API protections.</t>
  </si>
  <si>
    <t xml:space="preserve">API keys + simple throttling.</t>
  </si>
  <si>
    <t xml:space="preserve">No API gateway.</t>
  </si>
  <si>
    <t xml:space="preserve">Direct access to model endpoints.</t>
  </si>
  <si>
    <t xml:space="preserve">Total Secure API Gateway</t>
  </si>
  <si>
    <t xml:space="preserve">Key &amp; Secret Management</t>
  </si>
  <si>
    <t xml:space="preserve">Autonomous key rotation and compromise detection.</t>
  </si>
  <si>
    <t xml:space="preserve">Auto‑revoking leaked keys.</t>
  </si>
  <si>
    <t xml:space="preserve">Continuous monitoring of key usage.</t>
  </si>
  <si>
    <t xml:space="preserve">Alerts for unusual key activity.</t>
  </si>
  <si>
    <t xml:space="preserve">Standardized key vaulting and rotation.</t>
  </si>
  <si>
    <t xml:space="preserve">KMS + HSM.</t>
  </si>
  <si>
    <t xml:space="preserve">Partial key management.</t>
  </si>
  <si>
    <t xml:space="preserve">Manual rotation.</t>
  </si>
  <si>
    <t xml:space="preserve">No key management.</t>
  </si>
  <si>
    <t xml:space="preserve">Total Key/Secret Management</t>
  </si>
  <si>
    <t xml:space="preserve">Logging &amp; Audit Trails</t>
  </si>
  <si>
    <t xml:space="preserve">Immutable logs with autonomous anomaly detection.</t>
  </si>
  <si>
    <t xml:space="preserve">Continuous log monitoring.</t>
  </si>
  <si>
    <t xml:space="preserve">Alerts for suspicious activity.</t>
  </si>
  <si>
    <t xml:space="preserve">Standardized logging across AI systems.</t>
  </si>
  <si>
    <t xml:space="preserve">Logs only some events.</t>
  </si>
  <si>
    <t xml:space="preserve">No traceability.</t>
  </si>
  <si>
    <t xml:space="preserve">Total Logging/Audit Trails</t>
  </si>
  <si>
    <t xml:space="preserve">Supply Chain Security</t>
  </si>
  <si>
    <t xml:space="preserve">Autonomous SBOM scanning + dependency integrity verification.</t>
  </si>
  <si>
    <t xml:space="preserve">Auto‑flagging compromised ML libs.</t>
  </si>
  <si>
    <t xml:space="preserve">Continuous scanning of dependencies.</t>
  </si>
  <si>
    <t xml:space="preserve">CVE alerts for ML frameworks.</t>
  </si>
  <si>
    <t xml:space="preserve">Signed dependencies.</t>
  </si>
  <si>
    <t xml:space="preserve">Partial supply chain controls.</t>
  </si>
  <si>
    <t xml:space="preserve">Manual dependency checks.</t>
  </si>
  <si>
    <t xml:space="preserve">No supply chain security.</t>
  </si>
  <si>
    <t xml:space="preserve">Unknown dependencies.</t>
  </si>
  <si>
    <t xml:space="preserve">Total Supply Chain Security</t>
  </si>
  <si>
    <t xml:space="preserve">Autonomous containment + automated recovery workflows.</t>
  </si>
  <si>
    <t xml:space="preserve">Continuous monitoring + rehearsed IR plans.</t>
  </si>
  <si>
    <t xml:space="preserve">Documented AI‑specific IR playbooks.</t>
  </si>
  <si>
    <t xml:space="preserve">No AI‑specific IR.</t>
  </si>
  <si>
    <t xml:space="preserve">Secure Deployment Pipeline</t>
  </si>
  <si>
    <t xml:space="preserve">Autonomous validation + Zero Trust enforcement.</t>
  </si>
  <si>
    <t xml:space="preserve">Auto‑blocking unsafe deployments.</t>
  </si>
  <si>
    <t xml:space="preserve">Continuous scanning of deployment artifacts.</t>
  </si>
  <si>
    <t xml:space="preserve">Alerts for tampered models.</t>
  </si>
  <si>
    <t xml:space="preserve">Standardized deployment security.</t>
  </si>
  <si>
    <t xml:space="preserve">Signed model artifacts.</t>
  </si>
  <si>
    <t xml:space="preserve">Manual artifact checks.</t>
  </si>
  <si>
    <t xml:space="preserve">Anyone can deploy anything.</t>
  </si>
  <si>
    <t xml:space="preserve">Total Secure Deployment Pipeline</t>
  </si>
</sst>
</file>

<file path=xl/styles.xml><?xml version="1.0" encoding="utf-8"?>
<styleSheet xmlns="http://schemas.openxmlformats.org/spreadsheetml/2006/main">
  <numFmts count="2">
    <numFmt numFmtId="164" formatCode="General"/>
    <numFmt numFmtId="165" formatCode="General"/>
  </numFmts>
  <fonts count="15">
    <font>
      <sz val="10"/>
      <name val="Arial"/>
      <family val="2"/>
    </font>
    <font>
      <sz val="10"/>
      <name val="Arial"/>
      <family val="0"/>
    </font>
    <font>
      <sz val="10"/>
      <name val="Arial"/>
      <family val="0"/>
    </font>
    <font>
      <sz val="10"/>
      <name val="Arial"/>
      <family val="0"/>
    </font>
    <font>
      <sz val="28"/>
      <name val="Arial"/>
      <family val="2"/>
    </font>
    <font>
      <sz val="22"/>
      <name val="Arial"/>
      <family val="2"/>
    </font>
    <font>
      <b val="true"/>
      <sz val="16"/>
      <name val="Times New Roman"/>
      <family val="1"/>
    </font>
    <font>
      <sz val="10"/>
      <name val="Times New Roman"/>
      <family val="1"/>
    </font>
    <font>
      <b val="true"/>
      <sz val="10"/>
      <name val="Times New Roman"/>
      <family val="1"/>
    </font>
    <font>
      <b val="true"/>
      <sz val="12"/>
      <name val="Times New Roman"/>
      <family val="1"/>
    </font>
    <font>
      <b val="true"/>
      <sz val="13"/>
      <name val="Times New Roman"/>
      <family val="1"/>
    </font>
    <font>
      <sz val="13"/>
      <name val="Arial"/>
      <family val="2"/>
    </font>
    <font>
      <sz val="10"/>
      <color rgb="FFFAFAFA"/>
      <name val="Arial"/>
      <family val="2"/>
    </font>
    <font>
      <sz val="9"/>
      <name val="Arial"/>
      <family val="2"/>
    </font>
    <font>
      <sz val="32"/>
      <name val="Arial"/>
      <family val="2"/>
    </font>
  </fonts>
  <fills count="4">
    <fill>
      <patternFill patternType="none"/>
    </fill>
    <fill>
      <patternFill patternType="gray125"/>
    </fill>
    <fill>
      <patternFill patternType="solid">
        <fgColor rgb="FF157989"/>
        <bgColor rgb="FF00796B"/>
      </patternFill>
    </fill>
    <fill>
      <patternFill patternType="solid">
        <fgColor rgb="FFE3F2FD"/>
        <bgColor rgb="FFFAFAFA"/>
      </patternFill>
    </fill>
  </fills>
  <borders count="28">
    <border diagonalUp="false" diagonalDown="false">
      <left/>
      <right/>
      <top/>
      <bottom/>
      <diagonal/>
    </border>
    <border diagonalUp="false" diagonalDown="false">
      <left style="medium">
        <color rgb="FF157989"/>
      </left>
      <right style="medium">
        <color rgb="FF157989"/>
      </right>
      <top style="medium">
        <color rgb="FF157989"/>
      </top>
      <bottom style="medium">
        <color rgb="FF157989"/>
      </bottom>
      <diagonal/>
    </border>
    <border diagonalUp="false" diagonalDown="false">
      <left style="medium">
        <color rgb="FF157989"/>
      </left>
      <right/>
      <top style="medium">
        <color rgb="FF157989"/>
      </top>
      <bottom/>
      <diagonal/>
    </border>
    <border diagonalUp="false" diagonalDown="false">
      <left/>
      <right/>
      <top style="medium">
        <color rgb="FF157989"/>
      </top>
      <bottom/>
      <diagonal/>
    </border>
    <border diagonalUp="false" diagonalDown="false">
      <left/>
      <right style="medium">
        <color rgb="FF157989"/>
      </right>
      <top style="medium">
        <color rgb="FF157989"/>
      </top>
      <bottom/>
      <diagonal/>
    </border>
    <border diagonalUp="false" diagonalDown="false">
      <left style="medium">
        <color rgb="FF157989"/>
      </left>
      <right/>
      <top/>
      <bottom/>
      <diagonal/>
    </border>
    <border diagonalUp="false" diagonalDown="false">
      <left/>
      <right style="medium">
        <color rgb="FF157989"/>
      </right>
      <top/>
      <bottom/>
      <diagonal/>
    </border>
    <border diagonalUp="false" diagonalDown="false">
      <left style="medium">
        <color rgb="FF157989"/>
      </left>
      <right style="medium">
        <color rgb="FF157989"/>
      </right>
      <top/>
      <bottom/>
      <diagonal/>
    </border>
    <border diagonalUp="false" diagonalDown="false">
      <left style="medium">
        <color rgb="FF157989"/>
      </left>
      <right/>
      <top/>
      <bottom style="medium">
        <color rgb="FF157989"/>
      </bottom>
      <diagonal/>
    </border>
    <border diagonalUp="false" diagonalDown="false">
      <left/>
      <right/>
      <top/>
      <bottom style="medium">
        <color rgb="FF157989"/>
      </bottom>
      <diagonal/>
    </border>
    <border diagonalUp="false" diagonalDown="false">
      <left/>
      <right style="medium">
        <color rgb="FF157989"/>
      </right>
      <top/>
      <bottom style="medium">
        <color rgb="FF157989"/>
      </bottom>
      <diagonal/>
    </border>
    <border diagonalUp="false" diagonalDown="false">
      <left style="thin">
        <color rgb="FF157989"/>
      </left>
      <right/>
      <top style="thin">
        <color rgb="FF157989"/>
      </top>
      <bottom/>
      <diagonal/>
    </border>
    <border diagonalUp="false" diagonalDown="false">
      <left/>
      <right/>
      <top style="thin">
        <color rgb="FF157989"/>
      </top>
      <bottom/>
      <diagonal/>
    </border>
    <border diagonalUp="false" diagonalDown="false">
      <left/>
      <right style="thin">
        <color rgb="FF157989"/>
      </right>
      <top style="thin">
        <color rgb="FF157989"/>
      </top>
      <bottom/>
      <diagonal/>
    </border>
    <border diagonalUp="false" diagonalDown="false">
      <left style="thin">
        <color rgb="FF157989"/>
      </left>
      <right/>
      <top/>
      <bottom/>
      <diagonal/>
    </border>
    <border diagonalUp="false" diagonalDown="false">
      <left/>
      <right style="thin">
        <color rgb="FF157989"/>
      </right>
      <top/>
      <bottom/>
      <diagonal/>
    </border>
    <border diagonalUp="false" diagonalDown="false">
      <left style="thin">
        <color rgb="FF157989"/>
      </left>
      <right/>
      <top/>
      <bottom style="thin">
        <color rgb="FF157989"/>
      </bottom>
      <diagonal/>
    </border>
    <border diagonalUp="false" diagonalDown="false">
      <left/>
      <right/>
      <top/>
      <bottom style="thin">
        <color rgb="FF157989"/>
      </bottom>
      <diagonal/>
    </border>
    <border diagonalUp="false" diagonalDown="false">
      <left/>
      <right style="thin">
        <color rgb="FF157989"/>
      </right>
      <top/>
      <bottom style="thin">
        <color rgb="FF157989"/>
      </bottom>
      <diagonal/>
    </border>
    <border diagonalUp="false" diagonalDown="false">
      <left style="thin">
        <color rgb="FFFFEB3B"/>
      </left>
      <right style="thin">
        <color rgb="FFFFEB3B"/>
      </right>
      <top style="thin">
        <color rgb="FFFFEB3B"/>
      </top>
      <bottom style="thin">
        <color rgb="FFFFEB3B"/>
      </bottom>
      <diagonal/>
    </border>
    <border diagonalUp="false" diagonalDown="false">
      <left style="medium">
        <color rgb="FF00796B"/>
      </left>
      <right/>
      <top style="medium">
        <color rgb="FF00796B"/>
      </top>
      <bottom/>
      <diagonal/>
    </border>
    <border diagonalUp="false" diagonalDown="false">
      <left/>
      <right/>
      <top style="medium">
        <color rgb="FF00796B"/>
      </top>
      <bottom/>
      <diagonal/>
    </border>
    <border diagonalUp="false" diagonalDown="false">
      <left/>
      <right style="medium">
        <color rgb="FF00796B"/>
      </right>
      <top style="medium">
        <color rgb="FF00796B"/>
      </top>
      <bottom/>
      <diagonal/>
    </border>
    <border diagonalUp="false" diagonalDown="false">
      <left style="medium">
        <color rgb="FF00796B"/>
      </left>
      <right/>
      <top/>
      <bottom/>
      <diagonal/>
    </border>
    <border diagonalUp="false" diagonalDown="false">
      <left/>
      <right style="medium">
        <color rgb="FF00796B"/>
      </right>
      <top/>
      <bottom/>
      <diagonal/>
    </border>
    <border diagonalUp="false" diagonalDown="false">
      <left style="medium">
        <color rgb="FF00796B"/>
      </left>
      <right/>
      <top/>
      <bottom style="medium">
        <color rgb="FF00796B"/>
      </bottom>
      <diagonal/>
    </border>
    <border diagonalUp="false" diagonalDown="false">
      <left/>
      <right/>
      <top/>
      <bottom style="medium">
        <color rgb="FF00796B"/>
      </bottom>
      <diagonal/>
    </border>
    <border diagonalUp="false" diagonalDown="false">
      <left/>
      <right style="medium">
        <color rgb="FF00796B"/>
      </right>
      <top/>
      <bottom style="medium">
        <color rgb="FF00796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6" fillId="2" borderId="5" xfId="0" applyFont="true" applyBorder="tru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0" fillId="2" borderId="6" xfId="0" applyFont="false" applyBorder="true" applyAlignment="false" applyProtection="false">
      <alignment horizontal="general" vertical="bottom" textRotation="0" wrapText="false" indent="0" shrinkToFit="false"/>
      <protection locked="true" hidden="false"/>
    </xf>
    <xf numFmtId="164" fontId="10" fillId="2" borderId="5"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1" fillId="2" borderId="6"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5" xfId="0" applyFont="true" applyBorder="true" applyAlignment="false" applyProtection="false">
      <alignment horizontal="general" vertical="bottom" textRotation="0" wrapText="false" indent="0" shrinkToFit="false"/>
      <protection locked="true" hidden="false"/>
    </xf>
    <xf numFmtId="164" fontId="7" fillId="2" borderId="7" xfId="0" applyFont="true" applyBorder="true" applyAlignment="true" applyProtection="false">
      <alignment horizontal="general" vertical="bottom" textRotation="0" wrapText="true" indent="0" shrinkToFit="false"/>
      <protection locked="true" hidden="false"/>
    </xf>
    <xf numFmtId="164" fontId="0" fillId="2" borderId="8"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1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0" fillId="2" borderId="11" xfId="0" applyFont="true" applyBorder="true" applyAlignment="true" applyProtection="false">
      <alignment horizontal="general" vertical="center" textRotation="0" wrapText="true" indent="0" shrinkToFit="false"/>
      <protection locked="true" hidden="false"/>
    </xf>
    <xf numFmtId="164" fontId="10" fillId="2" borderId="12" xfId="0" applyFont="true" applyBorder="true" applyAlignment="true" applyProtection="false">
      <alignment horizontal="general" vertical="center" textRotation="0" wrapText="true" indent="0" shrinkToFit="false"/>
      <protection locked="true" hidden="false"/>
    </xf>
    <xf numFmtId="164" fontId="10" fillId="2" borderId="13" xfId="0" applyFont="true" applyBorder="true" applyAlignment="true" applyProtection="false">
      <alignment horizontal="general" vertical="center" textRotation="0" wrapText="true" indent="0" shrinkToFit="false"/>
      <protection locked="true" hidden="false"/>
    </xf>
    <xf numFmtId="164" fontId="7" fillId="0" borderId="14"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7" fillId="0" borderId="15"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2" borderId="16" xfId="0" applyFont="true" applyBorder="true" applyAlignment="true" applyProtection="false">
      <alignment horizontal="center" vertical="bottom" textRotation="0" wrapText="false" indent="0" shrinkToFit="false"/>
      <protection locked="true" hidden="false"/>
    </xf>
    <xf numFmtId="164" fontId="7" fillId="2" borderId="17" xfId="0" applyFont="true" applyBorder="true" applyAlignment="true" applyProtection="false">
      <alignment horizontal="center" vertical="bottom" textRotation="0" wrapText="false" indent="0" shrinkToFit="false"/>
      <protection locked="true" hidden="false"/>
    </xf>
    <xf numFmtId="164" fontId="8" fillId="2" borderId="11" xfId="0" applyFont="true" applyBorder="true" applyAlignment="true" applyProtection="false">
      <alignment horizontal="center" vertical="bottom" textRotation="0" wrapText="false" indent="0" shrinkToFit="false"/>
      <protection locked="true" hidden="false"/>
    </xf>
    <xf numFmtId="164" fontId="7" fillId="2" borderId="18" xfId="0" applyFont="true" applyBorder="true" applyAlignment="true" applyProtection="false">
      <alignment horizontal="center" vertical="bottom" textRotation="0" wrapText="false" indent="0" shrinkToFit="false"/>
      <protection locked="true" hidden="false"/>
    </xf>
    <xf numFmtId="164" fontId="0" fillId="2" borderId="1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8" fillId="2" borderId="11" xfId="0" applyFont="true" applyBorder="true" applyAlignment="true" applyProtection="false">
      <alignment horizontal="center" vertical="center" textRotation="0" wrapText="true" indent="0" shrinkToFit="false"/>
      <protection locked="true" hidden="false"/>
    </xf>
    <xf numFmtId="165" fontId="0" fillId="0" borderId="19" xfId="0" applyFont="false" applyBorder="true" applyAlignment="false" applyProtection="false">
      <alignment horizontal="general" vertical="bottom" textRotation="0" wrapText="false" indent="0" shrinkToFit="false"/>
      <protection locked="true" hidden="false"/>
    </xf>
    <xf numFmtId="164" fontId="0" fillId="2" borderId="15" xfId="0" applyFont="false" applyBorder="true" applyAlignment="false" applyProtection="false">
      <alignment horizontal="general" vertical="bottom" textRotation="0" wrapText="false" indent="0" shrinkToFit="false"/>
      <protection locked="true" hidden="false"/>
    </xf>
    <xf numFmtId="164" fontId="7" fillId="0" borderId="11"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general" vertical="bottom" textRotation="0" wrapText="true" indent="0" shrinkToFit="false"/>
      <protection locked="true" hidden="false"/>
    </xf>
    <xf numFmtId="164" fontId="7" fillId="0" borderId="13" xfId="0" applyFont="true" applyBorder="true" applyAlignment="false" applyProtection="false">
      <alignment horizontal="general" vertical="bottom" textRotation="0" wrapText="false" indent="0" shrinkToFit="false"/>
      <protection locked="true" hidden="false"/>
    </xf>
    <xf numFmtId="164" fontId="7" fillId="2" borderId="14"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7" fillId="2" borderId="15"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8" fillId="2" borderId="17" xfId="0" applyFont="true" applyBorder="true" applyAlignment="true" applyProtection="false">
      <alignment horizontal="center" vertical="bottom" textRotation="0" wrapText="false" indent="0" shrinkToFit="false"/>
      <protection locked="true" hidden="false"/>
    </xf>
    <xf numFmtId="164" fontId="7" fillId="0" borderId="20" xfId="0" applyFont="true" applyBorder="true" applyAlignment="true" applyProtection="false">
      <alignment horizontal="general" vertical="bottom" textRotation="0" wrapText="true" indent="0" shrinkToFit="false"/>
      <protection locked="true" hidden="false"/>
    </xf>
    <xf numFmtId="164" fontId="7" fillId="0" borderId="21" xfId="0" applyFont="true" applyBorder="true" applyAlignment="true" applyProtection="false">
      <alignment horizontal="general" vertical="bottom" textRotation="0" wrapText="true" indent="0" shrinkToFit="false"/>
      <protection locked="true" hidden="false"/>
    </xf>
    <xf numFmtId="164" fontId="7" fillId="3" borderId="21" xfId="0" applyFont="true" applyBorder="true" applyAlignment="false" applyProtection="false">
      <alignment horizontal="general" vertical="bottom" textRotation="0" wrapText="false" indent="0" shrinkToFit="false"/>
      <protection locked="true" hidden="false"/>
    </xf>
    <xf numFmtId="164" fontId="7" fillId="0" borderId="22" xfId="0" applyFont="tru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general" vertical="bottom" textRotation="0" wrapText="true" indent="0" shrinkToFit="false"/>
      <protection locked="true" hidden="false"/>
    </xf>
    <xf numFmtId="164" fontId="7" fillId="0" borderId="24" xfId="0" applyFont="true" applyBorder="true" applyAlignment="false" applyProtection="false">
      <alignment horizontal="general" vertical="bottom" textRotation="0" wrapText="false" indent="0" shrinkToFit="false"/>
      <protection locked="true" hidden="false"/>
    </xf>
    <xf numFmtId="164" fontId="7" fillId="0" borderId="25" xfId="0" applyFont="true" applyBorder="true" applyAlignment="true" applyProtection="false">
      <alignment horizontal="general" vertical="bottom" textRotation="0" wrapText="true" indent="0" shrinkToFit="false"/>
      <protection locked="true" hidden="false"/>
    </xf>
    <xf numFmtId="164" fontId="7" fillId="0" borderId="26" xfId="0" applyFont="true" applyBorder="true" applyAlignment="true" applyProtection="false">
      <alignment horizontal="general" vertical="bottom" textRotation="0" wrapText="true" indent="0" shrinkToFit="false"/>
      <protection locked="true" hidden="false"/>
    </xf>
    <xf numFmtId="164" fontId="7" fillId="3" borderId="26" xfId="0" applyFont="true" applyBorder="true" applyAlignment="false" applyProtection="false">
      <alignment horizontal="general" vertical="bottom" textRotation="0" wrapText="false" indent="0" shrinkToFit="false"/>
      <protection locked="true" hidden="false"/>
    </xf>
    <xf numFmtId="164" fontId="7" fillId="0" borderId="27" xfId="0" applyFont="true" applyBorder="true" applyAlignment="false" applyProtection="false">
      <alignment horizontal="general" vertical="bottom" textRotation="0" wrapText="false" indent="0" shrinkToFit="false"/>
      <protection locked="true" hidden="false"/>
    </xf>
    <xf numFmtId="164" fontId="7" fillId="3" borderId="1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general" vertical="bottom" textRotation="0" wrapText="true" indent="0" shrinkToFit="false"/>
      <protection locked="true" hidden="false"/>
    </xf>
    <xf numFmtId="164" fontId="7" fillId="0" borderId="9" xfId="0" applyFont="true" applyBorder="true" applyAlignment="true" applyProtection="false">
      <alignment horizontal="general" vertical="bottom" textRotation="0" wrapText="true" indent="0" shrinkToFit="false"/>
      <protection locked="true" hidden="false"/>
    </xf>
    <xf numFmtId="164" fontId="7" fillId="0" borderId="10" xfId="0" applyFont="true" applyBorder="true" applyAlignment="false" applyProtection="false">
      <alignment horizontal="general"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AFAFA"/>
      <rgbColor rgb="FFC5000B"/>
      <rgbColor rgb="FF00FF00"/>
      <rgbColor rgb="FF0000FF"/>
      <rgbColor rgb="FFFFEB3B"/>
      <rgbColor rgb="FFFF00FF"/>
      <rgbColor rgb="FF00FFFF"/>
      <rgbColor rgb="FF7E0021"/>
      <rgbColor rgb="FF008000"/>
      <rgbColor rgb="FF000080"/>
      <rgbColor rgb="FF808000"/>
      <rgbColor rgb="FF800080"/>
      <rgbColor rgb="FF00796B"/>
      <rgbColor rgb="FFB3B3B3"/>
      <rgbColor rgb="FF808080"/>
      <rgbColor rgb="FF9999FF"/>
      <rgbColor rgb="FF993366"/>
      <rgbColor rgb="FFFFFFCC"/>
      <rgbColor rgb="FFE3F2FD"/>
      <rgbColor rgb="FF660066"/>
      <rgbColor rgb="FFFF8080"/>
      <rgbColor rgb="FF0084D1"/>
      <rgbColor rgb="FFCCCCFF"/>
      <rgbColor rgb="FF000080"/>
      <rgbColor rgb="FFFF00FF"/>
      <rgbColor rgb="FFFFFF00"/>
      <rgbColor rgb="FF00FFFF"/>
      <rgbColor rgb="FF800080"/>
      <rgbColor rgb="FF800000"/>
      <rgbColor rgb="FF157989"/>
      <rgbColor rgb="FF0000FF"/>
      <rgbColor rgb="FF00CCFF"/>
      <rgbColor rgb="FFCCFFFF"/>
      <rgbColor rgb="FFCCFFCC"/>
      <rgbColor rgb="FFFFFF99"/>
      <rgbColor rgb="FF83CAFF"/>
      <rgbColor rgb="FFFF99CC"/>
      <rgbColor rgb="FFCC99FF"/>
      <rgbColor rgb="FFFFCC99"/>
      <rgbColor rgb="FF3366FF"/>
      <rgbColor rgb="FF40C4FF"/>
      <rgbColor rgb="FFAECF00"/>
      <rgbColor rgb="FFFFD320"/>
      <rgbColor rgb="FFFF950E"/>
      <rgbColor rgb="FFFF420E"/>
      <rgbColor rgb="FF666699"/>
      <rgbColor rgb="FF969696"/>
      <rgbColor rgb="FF004586"/>
      <rgbColor rgb="FF579D1C"/>
      <rgbColor rgb="FF003300"/>
      <rgbColor rgb="FF314004"/>
      <rgbColor rgb="FF993300"/>
      <rgbColor rgb="FF993366"/>
      <rgbColor rgb="FF4B1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uFillTx/>
                <a:latin typeface="Arial"/>
              </a:rPr>
              <a:t>Maturity Score Ventilated by Category</a:t>
            </a:r>
          </a:p>
        </c:rich>
      </c:tx>
      <c:overlay val="0"/>
      <c:spPr>
        <a:noFill/>
        <a:ln w="0">
          <a:noFill/>
        </a:ln>
      </c:spPr>
    </c:title>
    <c:autoTitleDeleted val="0"/>
    <c:plotArea>
      <c:layout>
        <c:manualLayout>
          <c:layoutTarget val="inner"/>
          <c:xMode val="edge"/>
          <c:yMode val="edge"/>
          <c:x val="0.0649434274675743"/>
          <c:y val="0.100443806291607"/>
          <c:w val="0.850059792107442"/>
          <c:h val="0.509332985249967"/>
        </c:manualLayout>
      </c:layout>
      <c:barChart>
        <c:barDir val="bar"/>
        <c:grouping val="clustered"/>
        <c:varyColors val="0"/>
        <c:ser>
          <c:idx val="0"/>
          <c:order val="0"/>
          <c:tx>
            <c:strRef>
              <c:f>Reports!$K$10</c:f>
              <c:strCache>
                <c:ptCount val="1"/>
                <c:pt idx="0">
                  <c:v>Governance</c:v>
                </c:pt>
              </c:strCache>
            </c:strRef>
          </c:tx>
          <c:spPr>
            <a:solidFill>
              <a:srgbClr val="004586"/>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Reports!$L$10</c:f>
              <c:numCache>
                <c:formatCode>General</c:formatCode>
                <c:ptCount val="1"/>
                <c:pt idx="0">
                  <c:v>0</c:v>
                </c:pt>
              </c:numCache>
            </c:numRef>
          </c:val>
        </c:ser>
        <c:ser>
          <c:idx val="1"/>
          <c:order val="1"/>
          <c:tx>
            <c:strRef>
              <c:f>Reports!$K$11</c:f>
              <c:strCache>
                <c:ptCount val="1"/>
                <c:pt idx="0">
                  <c:v>Strategy</c:v>
                </c:pt>
              </c:strCache>
            </c:strRef>
          </c:tx>
          <c:spPr>
            <a:solidFill>
              <a:srgbClr val="ff420e"/>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Reports!$L$11</c:f>
              <c:numCache>
                <c:formatCode>General</c:formatCode>
                <c:ptCount val="1"/>
                <c:pt idx="0">
                  <c:v>0</c:v>
                </c:pt>
              </c:numCache>
            </c:numRef>
          </c:val>
        </c:ser>
        <c:ser>
          <c:idx val="2"/>
          <c:order val="2"/>
          <c:tx>
            <c:strRef>
              <c:f>Reports!$K$12</c:f>
              <c:strCache>
                <c:ptCount val="1"/>
                <c:pt idx="0">
                  <c:v>Organization</c:v>
                </c:pt>
              </c:strCache>
            </c:strRef>
          </c:tx>
          <c:spPr>
            <a:solidFill>
              <a:srgbClr val="ffd320"/>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Reports!$L$12</c:f>
              <c:numCache>
                <c:formatCode>General</c:formatCode>
                <c:ptCount val="1"/>
                <c:pt idx="0">
                  <c:v>0</c:v>
                </c:pt>
              </c:numCache>
            </c:numRef>
          </c:val>
        </c:ser>
        <c:ser>
          <c:idx val="3"/>
          <c:order val="3"/>
          <c:tx>
            <c:strRef>
              <c:f>Reports!$K$13</c:f>
              <c:strCache>
                <c:ptCount val="1"/>
                <c:pt idx="0">
                  <c:v>Detection</c:v>
                </c:pt>
              </c:strCache>
            </c:strRef>
          </c:tx>
          <c:spPr>
            <a:solidFill>
              <a:srgbClr val="579d1c"/>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Reports!$L$13</c:f>
              <c:numCache>
                <c:formatCode>General</c:formatCode>
                <c:ptCount val="1"/>
                <c:pt idx="0">
                  <c:v>0</c:v>
                </c:pt>
              </c:numCache>
            </c:numRef>
          </c:val>
        </c:ser>
        <c:ser>
          <c:idx val="4"/>
          <c:order val="4"/>
          <c:tx>
            <c:strRef>
              <c:f>Reports!$K$14</c:f>
              <c:strCache>
                <c:ptCount val="1"/>
                <c:pt idx="0">
                  <c:v>Monitoring</c:v>
                </c:pt>
              </c:strCache>
            </c:strRef>
          </c:tx>
          <c:spPr>
            <a:solidFill>
              <a:srgbClr val="7e0021"/>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Reports!$L$14</c:f>
              <c:numCache>
                <c:formatCode>General</c:formatCode>
                <c:ptCount val="1"/>
                <c:pt idx="0">
                  <c:v>0</c:v>
                </c:pt>
              </c:numCache>
            </c:numRef>
          </c:val>
        </c:ser>
        <c:ser>
          <c:idx val="5"/>
          <c:order val="5"/>
          <c:tx>
            <c:strRef>
              <c:f>Reports!$K$15</c:f>
              <c:strCache>
                <c:ptCount val="1"/>
                <c:pt idx="0">
                  <c:v>Incident Response</c:v>
                </c:pt>
              </c:strCache>
            </c:strRef>
          </c:tx>
          <c:spPr>
            <a:solidFill>
              <a:srgbClr val="83caff"/>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Reports!$L$15</c:f>
              <c:numCache>
                <c:formatCode>General</c:formatCode>
                <c:ptCount val="1"/>
                <c:pt idx="0">
                  <c:v>0</c:v>
                </c:pt>
              </c:numCache>
            </c:numRef>
          </c:val>
        </c:ser>
        <c:ser>
          <c:idx val="6"/>
          <c:order val="6"/>
          <c:tx>
            <c:strRef>
              <c:f>Reports!$K$16</c:f>
              <c:strCache>
                <c:ptCount val="1"/>
                <c:pt idx="0">
                  <c:v>ML-Ops</c:v>
                </c:pt>
              </c:strCache>
            </c:strRef>
          </c:tx>
          <c:spPr>
            <a:solidFill>
              <a:srgbClr val="314004"/>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Reports!$L$16</c:f>
              <c:numCache>
                <c:formatCode>General</c:formatCode>
                <c:ptCount val="1"/>
                <c:pt idx="0">
                  <c:v>0</c:v>
                </c:pt>
              </c:numCache>
            </c:numRef>
          </c:val>
        </c:ser>
        <c:ser>
          <c:idx val="7"/>
          <c:order val="7"/>
          <c:tx>
            <c:strRef>
              <c:f>Reports!$K$17</c:f>
              <c:strCache>
                <c:ptCount val="1"/>
                <c:pt idx="0">
                  <c:v>Deployment</c:v>
                </c:pt>
              </c:strCache>
            </c:strRef>
          </c:tx>
          <c:spPr>
            <a:solidFill>
              <a:srgbClr val="aecf00"/>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Reports!$L$17</c:f>
              <c:numCache>
                <c:formatCode>General</c:formatCode>
                <c:ptCount val="1"/>
                <c:pt idx="0">
                  <c:v>0</c:v>
                </c:pt>
              </c:numCache>
            </c:numRef>
          </c:val>
        </c:ser>
        <c:ser>
          <c:idx val="8"/>
          <c:order val="8"/>
          <c:tx>
            <c:strRef>
              <c:f>Reports!$K$18</c:f>
              <c:strCache>
                <c:ptCount val="1"/>
                <c:pt idx="0">
                  <c:v>Infrastructure</c:v>
                </c:pt>
              </c:strCache>
            </c:strRef>
          </c:tx>
          <c:spPr>
            <a:solidFill>
              <a:srgbClr val="4b1f6f"/>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Reports!$L$18</c:f>
              <c:numCache>
                <c:formatCode>General</c:formatCode>
                <c:ptCount val="1"/>
                <c:pt idx="0">
                  <c:v>0</c:v>
                </c:pt>
              </c:numCache>
            </c:numRef>
          </c:val>
        </c:ser>
        <c:ser>
          <c:idx val="9"/>
          <c:order val="9"/>
          <c:tx>
            <c:strRef>
              <c:f>Reports!$K$19</c:f>
              <c:strCache>
                <c:ptCount val="1"/>
                <c:pt idx="0">
                  <c:v>Resources</c:v>
                </c:pt>
              </c:strCache>
            </c:strRef>
          </c:tx>
          <c:spPr>
            <a:solidFill>
              <a:srgbClr val="ff950e"/>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Reports!$L$19</c:f>
              <c:numCache>
                <c:formatCode>General</c:formatCode>
                <c:ptCount val="1"/>
                <c:pt idx="0">
                  <c:v>0</c:v>
                </c:pt>
              </c:numCache>
            </c:numRef>
          </c:val>
        </c:ser>
        <c:ser>
          <c:idx val="10"/>
          <c:order val="10"/>
          <c:tx>
            <c:strRef>
              <c:f>Reports!$K$20</c:f>
              <c:strCache>
                <c:ptCount val="1"/>
                <c:pt idx="0">
                  <c:v>Data Security</c:v>
                </c:pt>
              </c:strCache>
            </c:strRef>
          </c:tx>
          <c:spPr>
            <a:solidFill>
              <a:srgbClr val="c5000b"/>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Reports!$L$20</c:f>
              <c:numCache>
                <c:formatCode>General</c:formatCode>
                <c:ptCount val="1"/>
                <c:pt idx="0">
                  <c:v>0</c:v>
                </c:pt>
              </c:numCache>
            </c:numRef>
          </c:val>
        </c:ser>
        <c:ser>
          <c:idx val="11"/>
          <c:order val="11"/>
          <c:tx>
            <c:strRef>
              <c:f>Reports!$K$21</c:f>
              <c:strCache>
                <c:ptCount val="1"/>
                <c:pt idx="0">
                  <c:v>Model Security</c:v>
                </c:pt>
              </c:strCache>
            </c:strRef>
          </c:tx>
          <c:spPr>
            <a:solidFill>
              <a:srgbClr val="0084d1"/>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Reports!$L$21</c:f>
              <c:numCache>
                <c:formatCode>General</c:formatCode>
                <c:ptCount val="1"/>
                <c:pt idx="0">
                  <c:v>0</c:v>
                </c:pt>
              </c:numCache>
            </c:numRef>
          </c:val>
        </c:ser>
        <c:ser>
          <c:idx val="12"/>
          <c:order val="12"/>
          <c:tx>
            <c:strRef>
              <c:f>Reports!$K$22</c:f>
              <c:strCache>
                <c:ptCount val="1"/>
                <c:pt idx="0">
                  <c:v>LLM Security</c:v>
                </c:pt>
              </c:strCache>
            </c:strRef>
          </c:tx>
          <c:spPr>
            <a:solidFill>
              <a:srgbClr val="004586"/>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Reports!$L$22</c:f>
              <c:numCache>
                <c:formatCode>General</c:formatCode>
                <c:ptCount val="1"/>
                <c:pt idx="0">
                  <c:v>0</c:v>
                </c:pt>
              </c:numCache>
            </c:numRef>
          </c:val>
        </c:ser>
        <c:ser>
          <c:idx val="13"/>
          <c:order val="13"/>
          <c:tx>
            <c:strRef>
              <c:f>Reports!$K$23</c:f>
              <c:strCache>
                <c:ptCount val="1"/>
                <c:pt idx="0">
                  <c:v>Agent Security</c:v>
                </c:pt>
              </c:strCache>
            </c:strRef>
          </c:tx>
          <c:spPr>
            <a:solidFill>
              <a:srgbClr val="ff420e"/>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Reports!$L$23</c:f>
              <c:numCache>
                <c:formatCode>General</c:formatCode>
                <c:ptCount val="1"/>
                <c:pt idx="0">
                  <c:v>0</c:v>
                </c:pt>
              </c:numCache>
            </c:numRef>
          </c:val>
        </c:ser>
        <c:ser>
          <c:idx val="14"/>
          <c:order val="14"/>
          <c:tx>
            <c:strRef>
              <c:f>Reports!$K$24</c:f>
              <c:strCache>
                <c:ptCount val="1"/>
                <c:pt idx="0">
                  <c:v>LLM Agent Guardrails</c:v>
                </c:pt>
              </c:strCache>
            </c:strRef>
          </c:tx>
          <c:spPr>
            <a:solidFill>
              <a:srgbClr val="ffd320"/>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Reports!$L$24</c:f>
              <c:numCache>
                <c:formatCode>General</c:formatCode>
                <c:ptCount val="1"/>
                <c:pt idx="0">
                  <c:v>0</c:v>
                </c:pt>
              </c:numCache>
            </c:numRef>
          </c:val>
        </c:ser>
        <c:ser>
          <c:idx val="15"/>
          <c:order val="15"/>
          <c:tx>
            <c:strRef>
              <c:f>Reports!$K$25</c:f>
              <c:strCache>
                <c:ptCount val="1"/>
                <c:pt idx="0">
                  <c:v>ATLAS Tactics Coverage</c:v>
                </c:pt>
              </c:strCache>
            </c:strRef>
          </c:tx>
          <c:spPr>
            <a:solidFill>
              <a:srgbClr val="579d1c"/>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Reports!$L$25</c:f>
              <c:numCache>
                <c:formatCode>General</c:formatCode>
                <c:ptCount val="1"/>
                <c:pt idx="0">
                  <c:v>0</c:v>
                </c:pt>
              </c:numCache>
            </c:numRef>
          </c:val>
        </c:ser>
        <c:ser>
          <c:idx val="16"/>
          <c:order val="16"/>
          <c:tx>
            <c:strRef>
              <c:f>Reports!$K$26</c:f>
              <c:strCache>
                <c:ptCount val="1"/>
                <c:pt idx="0">
                  <c:v>ATLAS Mitigation Coverage</c:v>
                </c:pt>
              </c:strCache>
            </c:strRef>
          </c:tx>
          <c:spPr>
            <a:solidFill>
              <a:srgbClr val="7e0021"/>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Reports!$L$9</c:f>
              <c:strCache>
                <c:ptCount val="1"/>
                <c:pt idx="0">
                  <c:v>Average score</c:v>
                </c:pt>
              </c:strCache>
            </c:strRef>
          </c:cat>
          <c:val>
            <c:numRef>
              <c:f>Reports!$L$26</c:f>
              <c:numCache>
                <c:formatCode>General</c:formatCode>
                <c:ptCount val="1"/>
                <c:pt idx="0">
                  <c:v>0</c:v>
                </c:pt>
              </c:numCache>
            </c:numRef>
          </c:val>
        </c:ser>
        <c:gapWidth val="100"/>
        <c:overlap val="0"/>
        <c:axId val="72120015"/>
        <c:axId val="79672310"/>
      </c:barChart>
      <c:catAx>
        <c:axId val="72120015"/>
        <c:scaling>
          <c:orientation val="minMax"/>
        </c:scaling>
        <c:delete val="0"/>
        <c:axPos val="b"/>
        <c:title>
          <c:tx>
            <c:rich>
              <a:bodyPr rot="-5400000"/>
              <a:lstStyle/>
              <a:p>
                <a:pPr>
                  <a:defRPr b="0" sz="1300" strike="noStrike" u="none">
                    <a:uFillTx/>
                    <a:latin typeface="Arial"/>
                  </a:defRPr>
                </a:pPr>
                <a:r>
                  <a:rPr b="0" sz="900" strike="noStrike" u="none">
                    <a:uFillTx/>
                    <a:latin typeface="Arial"/>
                  </a:rPr>
                  <a:t>Items</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79672310"/>
        <c:crosses val="autoZero"/>
        <c:auto val="1"/>
        <c:lblAlgn val="ctr"/>
        <c:lblOffset val="100"/>
        <c:noMultiLvlLbl val="0"/>
      </c:catAx>
      <c:valAx>
        <c:axId val="79672310"/>
        <c:scaling>
          <c:orientation val="minMax"/>
        </c:scaling>
        <c:delete val="0"/>
        <c:axPos val="l"/>
        <c:majorGridlines>
          <c:spPr>
            <a:ln w="0">
              <a:solidFill>
                <a:srgbClr val="b3b3b3"/>
              </a:solidFill>
            </a:ln>
          </c:spPr>
        </c:majorGridlines>
        <c:title>
          <c:tx>
            <c:rich>
              <a:bodyPr rot="0"/>
              <a:lstStyle/>
              <a:p>
                <a:pPr>
                  <a:defRPr b="0" sz="1300" strike="noStrike" u="none">
                    <a:uFillTx/>
                    <a:latin typeface="Arial"/>
                  </a:defRPr>
                </a:pPr>
                <a:r>
                  <a:rPr b="0" sz="900" strike="noStrike" u="none">
                    <a:uFillTx/>
                    <a:latin typeface="Arial"/>
                  </a:rPr>
                  <a:t>Score</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72120015"/>
        <c:crosses val="autoZero"/>
        <c:crossBetween val="midCat"/>
      </c:valAx>
      <c:dTable>
        <c:spPr>
          <a:noFill/>
          <a:ln w="360">
            <a:solidFill>
              <a:srgbClr val="000000"/>
            </a:solidFill>
          </a:ln>
        </c:spPr>
        <c:txPr>
          <a:bodyPr/>
          <a:lstStyle/>
          <a:p>
            <a:pPr>
              <a:defRPr b="0" sz="1000" strike="noStrike" u="none">
                <a:uFillTx/>
                <a:latin typeface="Arial"/>
              </a:defRPr>
            </a:pPr>
          </a:p>
        </c:txPr>
      </c:dTable>
      <c:spPr>
        <a:noFill/>
        <a:ln w="0">
          <a:solidFill>
            <a:srgbClr val="b3b3b3"/>
          </a:solidFill>
        </a:ln>
      </c:spPr>
    </c:plotArea>
    <c:legend>
      <c:legendPos val="b"/>
      <c:layout>
        <c:manualLayout>
          <c:xMode val="edge"/>
          <c:yMode val="edge"/>
          <c:x val="0.0876184343666636"/>
          <c:y val="0.664795718574599"/>
          <c:w val="0.803973875448441"/>
          <c:h val="0.323391202192925"/>
        </c:manualLayout>
      </c:layout>
      <c:overlay val="1"/>
      <c:spPr>
        <a:solidFill>
          <a:srgbClr val="fafafa"/>
        </a:solidFill>
        <a:ln w="0">
          <a:noFill/>
        </a:ln>
      </c:spPr>
      <c:txPr>
        <a:bodyPr/>
        <a:lstStyle/>
        <a:p>
          <a:pPr>
            <a:defRPr b="0" sz="1000" strike="noStrike" u="none">
              <a:uFillTx/>
              <a:latin typeface="Arial"/>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137880</xdr:colOff>
      <xdr:row>5</xdr:row>
      <xdr:rowOff>10800</xdr:rowOff>
    </xdr:from>
    <xdr:to>
      <xdr:col>9</xdr:col>
      <xdr:colOff>495000</xdr:colOff>
      <xdr:row>38</xdr:row>
      <xdr:rowOff>162360</xdr:rowOff>
    </xdr:to>
    <xdr:graphicFrame>
      <xdr:nvGraphicFramePr>
        <xdr:cNvPr id="0" name=""/>
        <xdr:cNvGraphicFramePr/>
      </xdr:nvGraphicFramePr>
      <xdr:xfrm>
        <a:off x="950760" y="823680"/>
        <a:ext cx="7827120" cy="5515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B3B"/>
    <pageSetUpPr fitToPage="false"/>
  </sheetPr>
  <dimension ref="A2:L136"/>
  <sheetViews>
    <sheetView showFormulas="false" showGridLines="true" showRowColHeaders="true" showZeros="true" rightToLeft="false" tabSelected="false" showOutlineSymbols="true" defaultGridColor="true" view="normal" topLeftCell="A34" colorId="64" zoomScale="67" zoomScaleNormal="67" zoomScalePageLayoutView="100" workbookViewId="0">
      <selection pane="topLeft" activeCell="A18" activeCellId="0" sqref="A18"/>
    </sheetView>
  </sheetViews>
  <sheetFormatPr defaultColWidth="11.53515625" defaultRowHeight="12.8" zeroHeight="false" outlineLevelRow="0" outlineLevelCol="0"/>
  <sheetData>
    <row r="2" customFormat="false" ht="25.95" hidden="false" customHeight="true" outlineLevel="0" collapsed="false">
      <c r="A2" s="1" t="s">
        <v>0</v>
      </c>
      <c r="B2" s="1"/>
      <c r="C2" s="1"/>
      <c r="D2" s="1"/>
      <c r="E2" s="1"/>
      <c r="F2" s="1"/>
      <c r="G2" s="1"/>
      <c r="H2" s="1"/>
      <c r="I2" s="1"/>
      <c r="J2" s="1"/>
    </row>
    <row r="3" s="2" customFormat="true" ht="50.3" hidden="false" customHeight="true" outlineLevel="0" collapsed="false">
      <c r="A3" s="1"/>
      <c r="B3" s="1"/>
      <c r="C3" s="1"/>
      <c r="D3" s="1"/>
      <c r="E3" s="1"/>
      <c r="F3" s="1"/>
      <c r="G3" s="1"/>
      <c r="H3" s="1"/>
      <c r="I3" s="1"/>
      <c r="J3" s="1"/>
    </row>
    <row r="5" customFormat="false" ht="25.95" hidden="false" customHeight="true" outlineLevel="0" collapsed="false">
      <c r="A5" s="3" t="s">
        <v>1</v>
      </c>
      <c r="B5" s="3"/>
      <c r="C5" s="3"/>
      <c r="D5" s="3"/>
      <c r="E5" s="3"/>
      <c r="F5" s="3"/>
      <c r="G5" s="3"/>
      <c r="H5" s="3"/>
      <c r="I5" s="3"/>
      <c r="J5" s="3"/>
    </row>
    <row r="6" customFormat="false" ht="40.2" hidden="false" customHeight="true" outlineLevel="0" collapsed="false">
      <c r="A6" s="4" t="s">
        <v>2</v>
      </c>
      <c r="B6" s="4"/>
      <c r="C6" s="4"/>
      <c r="D6" s="4"/>
      <c r="E6" s="4"/>
      <c r="F6" s="4"/>
      <c r="G6" s="4"/>
      <c r="H6" s="4"/>
      <c r="I6" s="4"/>
      <c r="J6" s="4"/>
      <c r="L6" s="5"/>
    </row>
    <row r="7" customFormat="false" ht="20.1" hidden="false" customHeight="true" outlineLevel="0" collapsed="false">
      <c r="A7" s="6" t="s">
        <v>3</v>
      </c>
      <c r="B7" s="6"/>
      <c r="C7" s="6"/>
      <c r="D7" s="6"/>
      <c r="E7" s="6"/>
      <c r="F7" s="6"/>
      <c r="G7" s="6"/>
    </row>
    <row r="8" customFormat="false" ht="13.4" hidden="false" customHeight="true" outlineLevel="0" collapsed="false">
      <c r="A8" s="6" t="s">
        <v>4</v>
      </c>
      <c r="B8" s="6"/>
      <c r="C8" s="6"/>
      <c r="D8" s="6"/>
      <c r="E8" s="6"/>
      <c r="F8" s="6"/>
      <c r="G8" s="6"/>
    </row>
    <row r="9" customFormat="false" ht="13.4" hidden="false" customHeight="true" outlineLevel="0" collapsed="false">
      <c r="A9" s="6" t="s">
        <v>5</v>
      </c>
      <c r="B9" s="6"/>
      <c r="C9" s="6"/>
      <c r="D9" s="6"/>
      <c r="E9" s="6"/>
      <c r="F9" s="6"/>
      <c r="G9" s="6"/>
    </row>
    <row r="10" customFormat="false" ht="13.4" hidden="false" customHeight="true" outlineLevel="0" collapsed="false">
      <c r="A10" s="6" t="s">
        <v>6</v>
      </c>
      <c r="B10" s="6"/>
      <c r="C10" s="6"/>
      <c r="D10" s="6"/>
      <c r="E10" s="6"/>
      <c r="F10" s="6"/>
      <c r="G10" s="6"/>
    </row>
    <row r="11" customFormat="false" ht="13.4" hidden="false" customHeight="true" outlineLevel="0" collapsed="false">
      <c r="A11" s="6" t="s">
        <v>7</v>
      </c>
      <c r="B11" s="6"/>
      <c r="C11" s="6"/>
      <c r="D11" s="6"/>
      <c r="E11" s="6"/>
      <c r="F11" s="6"/>
      <c r="G11" s="6"/>
    </row>
    <row r="12" customFormat="false" ht="13.4" hidden="false" customHeight="true" outlineLevel="0" collapsed="false">
      <c r="A12" s="6" t="s">
        <v>8</v>
      </c>
      <c r="B12" s="6"/>
      <c r="C12" s="6"/>
      <c r="D12" s="6"/>
      <c r="E12" s="6"/>
      <c r="F12" s="6"/>
      <c r="G12" s="6"/>
    </row>
    <row r="13" customFormat="false" ht="13.4" hidden="false" customHeight="true" outlineLevel="0" collapsed="false">
      <c r="A13" s="6" t="s">
        <v>9</v>
      </c>
      <c r="B13" s="6"/>
      <c r="C13" s="6"/>
      <c r="D13" s="6"/>
      <c r="E13" s="6"/>
      <c r="F13" s="6"/>
      <c r="G13" s="6"/>
    </row>
    <row r="14" customFormat="false" ht="13.4" hidden="false" customHeight="true" outlineLevel="0" collapsed="false">
      <c r="A14" s="6" t="s">
        <v>10</v>
      </c>
      <c r="B14" s="6"/>
      <c r="C14" s="6"/>
      <c r="D14" s="6"/>
      <c r="E14" s="6"/>
      <c r="F14" s="6"/>
      <c r="G14" s="6"/>
    </row>
    <row r="15" customFormat="false" ht="25.15" hidden="false" customHeight="true" outlineLevel="0" collapsed="false">
      <c r="A15" s="4" t="s">
        <v>11</v>
      </c>
      <c r="B15" s="4"/>
      <c r="C15" s="4"/>
      <c r="D15" s="4"/>
      <c r="E15" s="4"/>
      <c r="F15" s="4"/>
      <c r="G15" s="4"/>
    </row>
    <row r="16" customFormat="false" ht="12.8" hidden="false" customHeight="false" outlineLevel="0" collapsed="false">
      <c r="A16" s="7"/>
    </row>
    <row r="17" customFormat="false" ht="12.8" hidden="false" customHeight="false" outlineLevel="0" collapsed="false">
      <c r="A17" s="7"/>
    </row>
    <row r="18" customFormat="false" ht="19.7" hidden="false" customHeight="true" outlineLevel="0" collapsed="false">
      <c r="A18" s="3" t="s">
        <v>12</v>
      </c>
      <c r="B18" s="3"/>
      <c r="C18" s="3"/>
      <c r="D18" s="3"/>
      <c r="E18" s="3"/>
      <c r="F18" s="3"/>
      <c r="G18" s="3"/>
      <c r="H18" s="3"/>
      <c r="I18" s="3"/>
      <c r="J18" s="3"/>
    </row>
    <row r="19" customFormat="false" ht="13.4" hidden="false" customHeight="true" outlineLevel="0" collapsed="false">
      <c r="A19" s="6" t="s">
        <v>13</v>
      </c>
      <c r="B19" s="6"/>
      <c r="C19" s="6" t="s">
        <v>14</v>
      </c>
      <c r="D19" s="6"/>
    </row>
    <row r="20" customFormat="false" ht="15.9" hidden="false" customHeight="true" outlineLevel="0" collapsed="false">
      <c r="A20" s="4" t="s">
        <v>15</v>
      </c>
      <c r="B20" s="4"/>
      <c r="C20" s="4" t="s">
        <v>16</v>
      </c>
      <c r="D20" s="4"/>
      <c r="E20" s="4"/>
      <c r="F20" s="4"/>
    </row>
    <row r="21" customFormat="false" ht="13.4" hidden="false" customHeight="true" outlineLevel="0" collapsed="false">
      <c r="A21" s="4" t="s">
        <v>17</v>
      </c>
      <c r="B21" s="4"/>
      <c r="C21" s="4" t="s">
        <v>18</v>
      </c>
      <c r="D21" s="4"/>
      <c r="E21" s="4"/>
      <c r="F21" s="4"/>
    </row>
    <row r="22" customFormat="false" ht="13.4" hidden="false" customHeight="true" outlineLevel="0" collapsed="false">
      <c r="A22" s="4" t="s">
        <v>19</v>
      </c>
      <c r="B22" s="4"/>
      <c r="C22" s="4" t="s">
        <v>20</v>
      </c>
      <c r="D22" s="4"/>
      <c r="E22" s="4"/>
      <c r="F22" s="4"/>
    </row>
    <row r="23" customFormat="false" ht="13.4" hidden="false" customHeight="true" outlineLevel="0" collapsed="false">
      <c r="A23" s="4" t="s">
        <v>21</v>
      </c>
      <c r="B23" s="4"/>
      <c r="C23" s="4" t="s">
        <v>22</v>
      </c>
      <c r="D23" s="4"/>
      <c r="E23" s="4"/>
      <c r="F23" s="4"/>
    </row>
    <row r="24" customFormat="false" ht="13.4" hidden="false" customHeight="true" outlineLevel="0" collapsed="false">
      <c r="A24" s="4" t="s">
        <v>23</v>
      </c>
      <c r="B24" s="4"/>
      <c r="C24" s="4" t="s">
        <v>24</v>
      </c>
      <c r="D24" s="4"/>
      <c r="E24" s="4"/>
      <c r="F24" s="4"/>
    </row>
    <row r="25" customFormat="false" ht="13.4" hidden="false" customHeight="true" outlineLevel="0" collapsed="false">
      <c r="A25" s="4" t="s">
        <v>25</v>
      </c>
      <c r="B25" s="4"/>
      <c r="C25" s="4" t="s">
        <v>26</v>
      </c>
      <c r="D25" s="4"/>
      <c r="E25" s="4"/>
      <c r="F25" s="4"/>
    </row>
    <row r="26" customFormat="false" ht="13.4" hidden="false" customHeight="true" outlineLevel="0" collapsed="false">
      <c r="A26" s="4" t="s">
        <v>27</v>
      </c>
      <c r="B26" s="4"/>
      <c r="C26" s="4" t="s">
        <v>28</v>
      </c>
      <c r="D26" s="4"/>
      <c r="E26" s="4"/>
      <c r="F26" s="4"/>
    </row>
    <row r="27" customFormat="false" ht="13.4" hidden="false" customHeight="true" outlineLevel="0" collapsed="false">
      <c r="A27" s="4" t="s">
        <v>29</v>
      </c>
      <c r="B27" s="4"/>
      <c r="C27" s="4" t="s">
        <v>30</v>
      </c>
      <c r="D27" s="4"/>
      <c r="E27" s="4"/>
      <c r="F27" s="4"/>
    </row>
    <row r="28" customFormat="false" ht="12.8" hidden="false" customHeight="false" outlineLevel="0" collapsed="false">
      <c r="A28" s="7"/>
      <c r="B28" s="7"/>
    </row>
    <row r="29" customFormat="false" ht="12.8" hidden="false" customHeight="false" outlineLevel="0" collapsed="false">
      <c r="A29" s="7"/>
      <c r="B29" s="7"/>
    </row>
    <row r="30" customFormat="false" ht="13.4" hidden="false" customHeight="true" outlineLevel="0" collapsed="false">
      <c r="A30" s="8" t="s">
        <v>31</v>
      </c>
      <c r="B30" s="8"/>
    </row>
    <row r="31" customFormat="false" ht="23.55" hidden="false" customHeight="true" outlineLevel="0" collapsed="false">
      <c r="A31" s="4" t="s">
        <v>32</v>
      </c>
      <c r="B31" s="4"/>
      <c r="C31" s="4"/>
      <c r="D31" s="4"/>
    </row>
    <row r="32" customFormat="false" ht="13.4" hidden="false" customHeight="true" outlineLevel="0" collapsed="false">
      <c r="A32" s="4" t="s">
        <v>33</v>
      </c>
      <c r="B32" s="4"/>
      <c r="C32" s="4"/>
      <c r="D32" s="4"/>
    </row>
    <row r="33" customFormat="false" ht="13.4" hidden="false" customHeight="true" outlineLevel="0" collapsed="false">
      <c r="A33" s="4" t="s">
        <v>34</v>
      </c>
      <c r="B33" s="4"/>
      <c r="C33" s="4"/>
      <c r="D33" s="4"/>
    </row>
    <row r="34" customFormat="false" ht="13.4" hidden="false" customHeight="true" outlineLevel="0" collapsed="false">
      <c r="A34" s="4" t="s">
        <v>35</v>
      </c>
      <c r="B34" s="4"/>
      <c r="C34" s="4"/>
      <c r="D34" s="4"/>
    </row>
    <row r="35" customFormat="false" ht="13.4" hidden="false" customHeight="true" outlineLevel="0" collapsed="false">
      <c r="A35" s="4" t="s">
        <v>36</v>
      </c>
      <c r="B35" s="4"/>
      <c r="C35" s="4"/>
      <c r="D35" s="4"/>
    </row>
    <row r="36" customFormat="false" ht="13.4" hidden="false" customHeight="true" outlineLevel="0" collapsed="false">
      <c r="A36" s="9" t="s">
        <v>37</v>
      </c>
      <c r="B36" s="9"/>
      <c r="C36" s="9"/>
      <c r="D36" s="9"/>
    </row>
    <row r="37" customFormat="false" ht="12.8" hidden="false" customHeight="false" outlineLevel="0" collapsed="false">
      <c r="A37" s="10"/>
      <c r="B37" s="7"/>
    </row>
    <row r="38" customFormat="false" ht="15.05" hidden="false" customHeight="true" outlineLevel="0" collapsed="false">
      <c r="A38" s="8" t="s">
        <v>38</v>
      </c>
      <c r="B38" s="8"/>
      <c r="C38" s="8"/>
      <c r="D38" s="8"/>
    </row>
    <row r="39" customFormat="false" ht="13.4" hidden="false" customHeight="true" outlineLevel="0" collapsed="false">
      <c r="A39" s="4" t="s">
        <v>39</v>
      </c>
      <c r="B39" s="4"/>
      <c r="C39" s="4"/>
      <c r="D39" s="4"/>
    </row>
    <row r="40" customFormat="false" ht="13.4" hidden="false" customHeight="true" outlineLevel="0" collapsed="false">
      <c r="A40" s="4" t="s">
        <v>40</v>
      </c>
      <c r="B40" s="4"/>
      <c r="C40" s="4"/>
      <c r="D40" s="4"/>
    </row>
    <row r="41" customFormat="false" ht="13.4" hidden="false" customHeight="true" outlineLevel="0" collapsed="false">
      <c r="A41" s="4" t="s">
        <v>41</v>
      </c>
      <c r="B41" s="4"/>
      <c r="C41" s="4"/>
      <c r="D41" s="4"/>
    </row>
    <row r="42" customFormat="false" ht="13.4" hidden="false" customHeight="true" outlineLevel="0" collapsed="false">
      <c r="A42" s="4" t="s">
        <v>36</v>
      </c>
      <c r="B42" s="4"/>
      <c r="C42" s="4"/>
      <c r="D42" s="4"/>
    </row>
    <row r="43" customFormat="false" ht="13.4" hidden="false" customHeight="true" outlineLevel="0" collapsed="false">
      <c r="A43" s="9" t="s">
        <v>42</v>
      </c>
      <c r="B43" s="9"/>
      <c r="C43" s="9"/>
      <c r="D43" s="9"/>
    </row>
    <row r="44" customFormat="false" ht="13.4" hidden="false" customHeight="true" outlineLevel="0" collapsed="false">
      <c r="A44" s="9" t="s">
        <v>43</v>
      </c>
      <c r="B44" s="9"/>
      <c r="C44" s="9"/>
      <c r="D44" s="9"/>
    </row>
    <row r="45" customFormat="false" ht="12.8" hidden="false" customHeight="false" outlineLevel="0" collapsed="false">
      <c r="A45" s="10"/>
      <c r="B45" s="7"/>
    </row>
    <row r="46" customFormat="false" ht="13.4" hidden="false" customHeight="true" outlineLevel="0" collapsed="false">
      <c r="A46" s="8" t="s">
        <v>44</v>
      </c>
      <c r="B46" s="8"/>
      <c r="C46" s="8"/>
      <c r="D46" s="8"/>
    </row>
    <row r="47" customFormat="false" ht="13.4" hidden="false" customHeight="true" outlineLevel="0" collapsed="false">
      <c r="A47" s="4" t="s">
        <v>45</v>
      </c>
      <c r="B47" s="4"/>
      <c r="C47" s="4"/>
      <c r="D47" s="4"/>
    </row>
    <row r="48" customFormat="false" ht="13.4" hidden="false" customHeight="true" outlineLevel="0" collapsed="false">
      <c r="A48" s="4" t="s">
        <v>46</v>
      </c>
      <c r="B48" s="4"/>
      <c r="C48" s="4"/>
      <c r="D48" s="4"/>
    </row>
    <row r="49" customFormat="false" ht="13.4" hidden="false" customHeight="true" outlineLevel="0" collapsed="false">
      <c r="A49" s="4" t="s">
        <v>47</v>
      </c>
      <c r="B49" s="4"/>
      <c r="C49" s="4"/>
      <c r="D49" s="4"/>
    </row>
    <row r="50" customFormat="false" ht="13.4" hidden="false" customHeight="true" outlineLevel="0" collapsed="false">
      <c r="A50" s="4" t="s">
        <v>36</v>
      </c>
      <c r="B50" s="4"/>
      <c r="C50" s="4"/>
      <c r="D50" s="4"/>
    </row>
    <row r="51" customFormat="false" ht="13.4" hidden="false" customHeight="true" outlineLevel="0" collapsed="false">
      <c r="A51" s="4" t="s">
        <v>48</v>
      </c>
      <c r="B51" s="4"/>
      <c r="C51" s="4"/>
      <c r="D51" s="4"/>
    </row>
    <row r="52" customFormat="false" ht="13.4" hidden="false" customHeight="true" outlineLevel="0" collapsed="false">
      <c r="A52" s="9" t="s">
        <v>49</v>
      </c>
      <c r="B52" s="9"/>
      <c r="C52" s="9"/>
      <c r="D52" s="9"/>
    </row>
    <row r="53" customFormat="false" ht="13.4" hidden="false" customHeight="true" outlineLevel="0" collapsed="false">
      <c r="A53" s="9" t="s">
        <v>50</v>
      </c>
      <c r="B53" s="9"/>
      <c r="C53" s="9"/>
      <c r="D53" s="9"/>
    </row>
    <row r="54" customFormat="false" ht="12.8" hidden="false" customHeight="false" outlineLevel="0" collapsed="false">
      <c r="A54" s="10"/>
      <c r="B54" s="7"/>
    </row>
    <row r="55" customFormat="false" ht="13.4" hidden="false" customHeight="true" outlineLevel="0" collapsed="false">
      <c r="A55" s="8" t="s">
        <v>51</v>
      </c>
      <c r="B55" s="8"/>
      <c r="C55" s="8"/>
      <c r="D55" s="8"/>
    </row>
    <row r="56" customFormat="false" ht="13.4" hidden="false" customHeight="true" outlineLevel="0" collapsed="false">
      <c r="A56" s="4" t="s">
        <v>52</v>
      </c>
      <c r="B56" s="4"/>
      <c r="C56" s="4"/>
      <c r="D56" s="4"/>
    </row>
    <row r="57" customFormat="false" ht="13.4" hidden="false" customHeight="true" outlineLevel="0" collapsed="false">
      <c r="A57" s="4" t="s">
        <v>53</v>
      </c>
      <c r="B57" s="4"/>
      <c r="C57" s="4"/>
      <c r="D57" s="4"/>
    </row>
    <row r="58" customFormat="false" ht="13.4" hidden="false" customHeight="true" outlineLevel="0" collapsed="false">
      <c r="A58" s="4" t="s">
        <v>54</v>
      </c>
      <c r="B58" s="4"/>
      <c r="C58" s="4"/>
      <c r="D58" s="4"/>
    </row>
    <row r="59" customFormat="false" ht="13.4" hidden="false" customHeight="true" outlineLevel="0" collapsed="false">
      <c r="A59" s="4" t="s">
        <v>36</v>
      </c>
      <c r="B59" s="4"/>
      <c r="C59" s="4"/>
      <c r="D59" s="4"/>
    </row>
    <row r="60" customFormat="false" ht="13.4" hidden="false" customHeight="true" outlineLevel="0" collapsed="false">
      <c r="A60" s="9" t="s">
        <v>55</v>
      </c>
      <c r="B60" s="9"/>
      <c r="C60" s="9"/>
      <c r="D60" s="9"/>
    </row>
    <row r="61" customFormat="false" ht="13.4" hidden="false" customHeight="true" outlineLevel="0" collapsed="false">
      <c r="A61" s="9" t="s">
        <v>56</v>
      </c>
      <c r="B61" s="9"/>
      <c r="C61" s="9"/>
      <c r="D61" s="9"/>
    </row>
    <row r="62" customFormat="false" ht="13.4" hidden="false" customHeight="true" outlineLevel="0" collapsed="false">
      <c r="A62" s="9" t="s">
        <v>57</v>
      </c>
      <c r="B62" s="9"/>
      <c r="C62" s="9"/>
      <c r="D62" s="9"/>
    </row>
    <row r="63" customFormat="false" ht="12.8" hidden="false" customHeight="false" outlineLevel="0" collapsed="false">
      <c r="A63" s="10"/>
      <c r="B63" s="7"/>
    </row>
    <row r="64" customFormat="false" ht="13.4" hidden="false" customHeight="true" outlineLevel="0" collapsed="false">
      <c r="A64" s="8" t="s">
        <v>58</v>
      </c>
      <c r="B64" s="8"/>
      <c r="C64" s="8"/>
      <c r="D64" s="8"/>
    </row>
    <row r="65" customFormat="false" ht="13.4" hidden="false" customHeight="true" outlineLevel="0" collapsed="false">
      <c r="A65" s="4" t="s">
        <v>59</v>
      </c>
      <c r="B65" s="4"/>
      <c r="C65" s="4"/>
      <c r="D65" s="4"/>
    </row>
    <row r="66" customFormat="false" ht="13.4" hidden="false" customHeight="true" outlineLevel="0" collapsed="false">
      <c r="A66" s="4" t="s">
        <v>60</v>
      </c>
      <c r="B66" s="4"/>
      <c r="C66" s="4"/>
      <c r="D66" s="4"/>
    </row>
    <row r="67" customFormat="false" ht="13.4" hidden="false" customHeight="true" outlineLevel="0" collapsed="false">
      <c r="A67" s="4" t="s">
        <v>61</v>
      </c>
      <c r="B67" s="4"/>
      <c r="C67" s="4"/>
      <c r="D67" s="4"/>
    </row>
    <row r="68" customFormat="false" ht="13.4" hidden="false" customHeight="true" outlineLevel="0" collapsed="false">
      <c r="A68" s="4" t="s">
        <v>36</v>
      </c>
      <c r="B68" s="4"/>
      <c r="C68" s="4"/>
      <c r="D68" s="4"/>
    </row>
    <row r="69" customFormat="false" ht="13.4" hidden="false" customHeight="true" outlineLevel="0" collapsed="false">
      <c r="A69" s="9" t="s">
        <v>62</v>
      </c>
      <c r="B69" s="9"/>
      <c r="C69" s="9"/>
      <c r="D69" s="9"/>
    </row>
    <row r="70" customFormat="false" ht="13.4" hidden="false" customHeight="true" outlineLevel="0" collapsed="false">
      <c r="A70" s="9" t="s">
        <v>63</v>
      </c>
      <c r="B70" s="9"/>
      <c r="C70" s="9"/>
      <c r="D70" s="9"/>
    </row>
    <row r="71" customFormat="false" ht="13.4" hidden="false" customHeight="true" outlineLevel="0" collapsed="false">
      <c r="A71" s="9" t="s">
        <v>64</v>
      </c>
      <c r="B71" s="9"/>
      <c r="C71" s="9"/>
      <c r="D71" s="9"/>
    </row>
    <row r="72" customFormat="false" ht="12.8" hidden="false" customHeight="false" outlineLevel="0" collapsed="false">
      <c r="A72" s="7"/>
      <c r="B72" s="7"/>
    </row>
    <row r="73" customFormat="false" ht="12.8" hidden="false" customHeight="false" outlineLevel="0" collapsed="false">
      <c r="A73" s="7"/>
    </row>
    <row r="74" customFormat="false" ht="19.7" hidden="false" customHeight="true" outlineLevel="0" collapsed="false">
      <c r="A74" s="3" t="s">
        <v>65</v>
      </c>
      <c r="B74" s="3"/>
      <c r="C74" s="3"/>
      <c r="D74" s="3"/>
      <c r="E74" s="3"/>
      <c r="F74" s="3"/>
      <c r="G74" s="3"/>
      <c r="H74" s="3"/>
      <c r="I74" s="3"/>
      <c r="J74" s="3"/>
    </row>
    <row r="75" customFormat="false" ht="25.15" hidden="false" customHeight="true" outlineLevel="0" collapsed="false">
      <c r="A75" s="4" t="s">
        <v>66</v>
      </c>
      <c r="B75" s="4"/>
      <c r="C75" s="4"/>
      <c r="D75" s="4"/>
      <c r="E75" s="4"/>
      <c r="F75" s="4"/>
      <c r="G75" s="4"/>
      <c r="H75" s="4"/>
      <c r="I75" s="4"/>
      <c r="J75" s="4"/>
    </row>
    <row r="76" customFormat="false" ht="15" hidden="false" customHeight="true" outlineLevel="0" collapsed="false">
      <c r="A76" s="11" t="s">
        <v>67</v>
      </c>
      <c r="B76" s="11"/>
      <c r="C76" s="11"/>
      <c r="D76" s="11"/>
      <c r="E76" s="11"/>
      <c r="F76" s="11"/>
      <c r="G76" s="11"/>
    </row>
    <row r="77" customFormat="false" ht="25.15" hidden="false" customHeight="true" outlineLevel="0" collapsed="false">
      <c r="A77" s="6" t="s">
        <v>68</v>
      </c>
      <c r="B77" s="6"/>
      <c r="C77" s="6"/>
      <c r="D77" s="6"/>
      <c r="E77" s="6"/>
      <c r="F77" s="6"/>
      <c r="G77" s="6"/>
    </row>
    <row r="78" customFormat="false" ht="13.4" hidden="false" customHeight="true" outlineLevel="0" collapsed="false">
      <c r="A78" s="6" t="s">
        <v>69</v>
      </c>
      <c r="B78" s="6"/>
      <c r="C78" s="6"/>
      <c r="D78" s="6"/>
      <c r="E78" s="6"/>
      <c r="F78" s="6"/>
      <c r="G78" s="6"/>
    </row>
    <row r="79" customFormat="false" ht="13.4" hidden="false" customHeight="true" outlineLevel="0" collapsed="false">
      <c r="A79" s="6" t="s">
        <v>70</v>
      </c>
      <c r="B79" s="6"/>
      <c r="C79" s="6"/>
      <c r="D79" s="6"/>
      <c r="E79" s="6"/>
      <c r="F79" s="6"/>
      <c r="G79" s="6"/>
    </row>
    <row r="80" customFormat="false" ht="13.4" hidden="false" customHeight="true" outlineLevel="0" collapsed="false">
      <c r="A80" s="6" t="s">
        <v>71</v>
      </c>
      <c r="B80" s="6"/>
      <c r="C80" s="6"/>
      <c r="D80" s="6"/>
      <c r="E80" s="6"/>
      <c r="F80" s="6"/>
      <c r="G80" s="6"/>
    </row>
    <row r="81" customFormat="false" ht="15" hidden="false" customHeight="true" outlineLevel="0" collapsed="false">
      <c r="A81" s="11" t="s">
        <v>72</v>
      </c>
      <c r="B81" s="11"/>
      <c r="C81" s="11"/>
      <c r="D81" s="11"/>
      <c r="E81" s="11"/>
      <c r="F81" s="11"/>
      <c r="G81" s="11"/>
    </row>
    <row r="82" customFormat="false" ht="13.4" hidden="false" customHeight="true" outlineLevel="0" collapsed="false">
      <c r="A82" s="6" t="s">
        <v>73</v>
      </c>
      <c r="B82" s="6"/>
      <c r="C82" s="6"/>
      <c r="D82" s="6"/>
      <c r="E82" s="6"/>
      <c r="F82" s="6"/>
      <c r="G82" s="6"/>
    </row>
    <row r="83" customFormat="false" ht="13.4" hidden="false" customHeight="true" outlineLevel="0" collapsed="false">
      <c r="A83" s="6" t="s">
        <v>74</v>
      </c>
      <c r="B83" s="6"/>
      <c r="C83" s="6"/>
      <c r="D83" s="6"/>
      <c r="E83" s="6"/>
      <c r="F83" s="6"/>
      <c r="G83" s="6"/>
    </row>
    <row r="84" customFormat="false" ht="13.4" hidden="false" customHeight="true" outlineLevel="0" collapsed="false">
      <c r="A84" s="6" t="s">
        <v>75</v>
      </c>
      <c r="B84" s="6"/>
      <c r="C84" s="6"/>
      <c r="D84" s="6"/>
      <c r="E84" s="6"/>
      <c r="F84" s="6"/>
      <c r="G84" s="6"/>
    </row>
    <row r="85" customFormat="false" ht="13.4" hidden="false" customHeight="true" outlineLevel="0" collapsed="false">
      <c r="A85" s="4" t="s">
        <v>76</v>
      </c>
      <c r="B85" s="4"/>
      <c r="C85" s="4"/>
      <c r="D85" s="4"/>
      <c r="E85" s="4"/>
      <c r="F85" s="4"/>
      <c r="G85" s="4"/>
      <c r="H85" s="4"/>
      <c r="I85" s="4"/>
      <c r="J85" s="4"/>
    </row>
    <row r="86" customFormat="false" ht="19.7" hidden="false" customHeight="true" outlineLevel="0" collapsed="false">
      <c r="A86" s="3" t="s">
        <v>77</v>
      </c>
      <c r="B86" s="3"/>
      <c r="C86" s="3"/>
      <c r="D86" s="3"/>
      <c r="E86" s="3"/>
      <c r="F86" s="3"/>
      <c r="G86" s="3"/>
      <c r="H86" s="3"/>
      <c r="I86" s="3"/>
      <c r="J86" s="3"/>
    </row>
    <row r="87" customFormat="false" ht="13.4" hidden="false" customHeight="true" outlineLevel="0" collapsed="false">
      <c r="A87" s="4" t="s">
        <v>78</v>
      </c>
      <c r="B87" s="4"/>
      <c r="C87" s="4"/>
      <c r="D87" s="4"/>
      <c r="E87" s="4"/>
      <c r="F87" s="4"/>
      <c r="G87" s="4"/>
    </row>
    <row r="88" customFormat="false" ht="13.4" hidden="false" customHeight="true" outlineLevel="0" collapsed="false">
      <c r="A88" s="12" t="s">
        <v>79</v>
      </c>
      <c r="B88" s="12"/>
      <c r="C88" s="12"/>
      <c r="D88" s="12"/>
      <c r="E88" s="12"/>
      <c r="F88" s="12"/>
      <c r="G88" s="12"/>
    </row>
    <row r="89" customFormat="false" ht="13.4" hidden="false" customHeight="true" outlineLevel="0" collapsed="false">
      <c r="A89" s="12" t="s">
        <v>80</v>
      </c>
      <c r="B89" s="12"/>
      <c r="C89" s="12"/>
      <c r="D89" s="12"/>
      <c r="E89" s="12"/>
      <c r="F89" s="12"/>
      <c r="G89" s="12"/>
    </row>
    <row r="90" customFormat="false" ht="13.4" hidden="false" customHeight="true" outlineLevel="0" collapsed="false">
      <c r="A90" s="12" t="s">
        <v>81</v>
      </c>
      <c r="B90" s="12"/>
      <c r="C90" s="12"/>
      <c r="D90" s="12"/>
      <c r="E90" s="12"/>
      <c r="F90" s="12"/>
      <c r="G90" s="12"/>
    </row>
    <row r="91" customFormat="false" ht="13.4" hidden="false" customHeight="true" outlineLevel="0" collapsed="false">
      <c r="A91" s="12" t="s">
        <v>82</v>
      </c>
      <c r="B91" s="12"/>
      <c r="C91" s="12"/>
      <c r="D91" s="12"/>
      <c r="E91" s="12"/>
      <c r="F91" s="12"/>
      <c r="G91" s="12"/>
    </row>
    <row r="92" customFormat="false" ht="13.4" hidden="false" customHeight="true" outlineLevel="0" collapsed="false">
      <c r="A92" s="12" t="s">
        <v>83</v>
      </c>
      <c r="B92" s="12"/>
      <c r="C92" s="12"/>
      <c r="D92" s="12"/>
      <c r="E92" s="12"/>
      <c r="F92" s="12"/>
      <c r="G92" s="12"/>
    </row>
    <row r="93" customFormat="false" ht="19.7" hidden="false" customHeight="true" outlineLevel="0" collapsed="false">
      <c r="A93" s="13" t="s">
        <v>84</v>
      </c>
      <c r="B93" s="13"/>
      <c r="C93" s="13"/>
      <c r="D93" s="13"/>
      <c r="E93" s="13"/>
      <c r="F93" s="13"/>
    </row>
    <row r="94" customFormat="false" ht="15" hidden="false" customHeight="true" outlineLevel="0" collapsed="false">
      <c r="A94" s="11" t="s">
        <v>85</v>
      </c>
      <c r="B94" s="11"/>
      <c r="C94" s="11"/>
      <c r="D94" s="11"/>
      <c r="E94" s="11"/>
      <c r="F94" s="11"/>
      <c r="G94" s="11"/>
    </row>
    <row r="95" customFormat="false" ht="13.4" hidden="false" customHeight="true" outlineLevel="0" collapsed="false">
      <c r="A95" s="12" t="s">
        <v>86</v>
      </c>
      <c r="B95" s="12"/>
      <c r="C95" s="12"/>
      <c r="D95" s="12"/>
      <c r="E95" s="12"/>
      <c r="F95" s="12"/>
      <c r="G95" s="12"/>
    </row>
    <row r="96" customFormat="false" ht="13.4" hidden="false" customHeight="true" outlineLevel="0" collapsed="false">
      <c r="A96" s="12" t="s">
        <v>87</v>
      </c>
      <c r="B96" s="12"/>
      <c r="C96" s="12"/>
      <c r="D96" s="12"/>
      <c r="E96" s="12"/>
      <c r="F96" s="12"/>
      <c r="G96" s="12"/>
    </row>
    <row r="97" customFormat="false" ht="13.4" hidden="false" customHeight="true" outlineLevel="0" collapsed="false">
      <c r="A97" s="12" t="s">
        <v>88</v>
      </c>
      <c r="B97" s="12"/>
      <c r="C97" s="12"/>
      <c r="D97" s="12"/>
      <c r="E97" s="12"/>
      <c r="F97" s="12"/>
      <c r="G97" s="12"/>
    </row>
    <row r="98" customFormat="false" ht="13.4" hidden="false" customHeight="true" outlineLevel="0" collapsed="false">
      <c r="A98" s="12" t="s">
        <v>89</v>
      </c>
      <c r="B98" s="12"/>
      <c r="C98" s="12"/>
      <c r="D98" s="12"/>
      <c r="E98" s="12"/>
      <c r="F98" s="12"/>
      <c r="G98" s="12"/>
    </row>
    <row r="99" customFormat="false" ht="13.4" hidden="false" customHeight="true" outlineLevel="0" collapsed="false">
      <c r="A99" s="12" t="s">
        <v>90</v>
      </c>
      <c r="B99" s="12"/>
      <c r="C99" s="12"/>
      <c r="D99" s="12"/>
      <c r="E99" s="12"/>
      <c r="F99" s="12"/>
      <c r="G99" s="12"/>
    </row>
    <row r="100" customFormat="false" ht="15" hidden="false" customHeight="true" outlineLevel="0" collapsed="false">
      <c r="A100" s="11" t="s">
        <v>91</v>
      </c>
      <c r="B100" s="11"/>
      <c r="C100" s="11"/>
      <c r="D100" s="11"/>
      <c r="E100" s="11"/>
      <c r="F100" s="11"/>
      <c r="G100" s="11"/>
    </row>
    <row r="101" customFormat="false" ht="13.4" hidden="false" customHeight="true" outlineLevel="0" collapsed="false">
      <c r="A101" s="6" t="s">
        <v>92</v>
      </c>
      <c r="B101" s="6"/>
      <c r="C101" s="6"/>
      <c r="D101" s="6"/>
      <c r="E101" s="6"/>
      <c r="F101" s="6"/>
      <c r="G101" s="6"/>
    </row>
    <row r="102" customFormat="false" ht="13.4" hidden="false" customHeight="true" outlineLevel="0" collapsed="false">
      <c r="A102" s="6" t="s">
        <v>93</v>
      </c>
      <c r="B102" s="6"/>
      <c r="C102" s="6"/>
      <c r="D102" s="6"/>
      <c r="E102" s="6"/>
      <c r="F102" s="6"/>
      <c r="G102" s="6"/>
    </row>
    <row r="103" customFormat="false" ht="13.4" hidden="false" customHeight="true" outlineLevel="0" collapsed="false">
      <c r="A103" s="6" t="s">
        <v>94</v>
      </c>
      <c r="B103" s="6"/>
      <c r="C103" s="6"/>
      <c r="D103" s="6"/>
      <c r="E103" s="6"/>
      <c r="F103" s="6"/>
      <c r="G103" s="6"/>
    </row>
    <row r="104" customFormat="false" ht="13.4" hidden="false" customHeight="true" outlineLevel="0" collapsed="false">
      <c r="A104" s="6" t="s">
        <v>95</v>
      </c>
      <c r="B104" s="6"/>
      <c r="C104" s="6"/>
      <c r="D104" s="6"/>
      <c r="E104" s="6"/>
      <c r="F104" s="6"/>
      <c r="G104" s="6"/>
    </row>
    <row r="105" customFormat="false" ht="13.4" hidden="false" customHeight="true" outlineLevel="0" collapsed="false">
      <c r="A105" s="6" t="s">
        <v>96</v>
      </c>
      <c r="B105" s="6"/>
      <c r="C105" s="6"/>
      <c r="D105" s="6"/>
      <c r="E105" s="6"/>
      <c r="F105" s="6"/>
      <c r="G105" s="6"/>
    </row>
    <row r="106" customFormat="false" ht="15" hidden="false" customHeight="true" outlineLevel="0" collapsed="false">
      <c r="A106" s="11" t="s">
        <v>97</v>
      </c>
      <c r="B106" s="11"/>
      <c r="C106" s="11"/>
      <c r="D106" s="11"/>
      <c r="E106" s="11"/>
      <c r="F106" s="11"/>
      <c r="G106" s="11"/>
    </row>
    <row r="107" customFormat="false" ht="13.4" hidden="false" customHeight="true" outlineLevel="0" collapsed="false">
      <c r="A107" s="4" t="s">
        <v>98</v>
      </c>
      <c r="B107" s="4"/>
      <c r="C107" s="4"/>
      <c r="D107" s="4"/>
      <c r="E107" s="4"/>
      <c r="F107" s="4"/>
      <c r="G107" s="4"/>
    </row>
    <row r="108" customFormat="false" ht="13.4" hidden="false" customHeight="true" outlineLevel="0" collapsed="false">
      <c r="A108" s="4" t="s">
        <v>99</v>
      </c>
      <c r="B108" s="4"/>
      <c r="C108" s="4"/>
      <c r="D108" s="4"/>
      <c r="E108" s="4"/>
      <c r="F108" s="4"/>
      <c r="G108" s="4"/>
    </row>
    <row r="109" customFormat="false" ht="13.4" hidden="false" customHeight="true" outlineLevel="0" collapsed="false">
      <c r="A109" s="4" t="s">
        <v>100</v>
      </c>
      <c r="B109" s="4"/>
      <c r="C109" s="4"/>
      <c r="D109" s="4"/>
      <c r="E109" s="4"/>
      <c r="F109" s="4"/>
      <c r="G109" s="4"/>
    </row>
    <row r="110" customFormat="false" ht="13.4" hidden="false" customHeight="true" outlineLevel="0" collapsed="false">
      <c r="A110" s="4" t="s">
        <v>101</v>
      </c>
      <c r="B110" s="4"/>
      <c r="C110" s="4"/>
      <c r="D110" s="4"/>
      <c r="E110" s="4"/>
      <c r="F110" s="4"/>
      <c r="G110" s="4"/>
    </row>
    <row r="111" customFormat="false" ht="13.4" hidden="false" customHeight="true" outlineLevel="0" collapsed="false">
      <c r="A111" s="4" t="s">
        <v>102</v>
      </c>
      <c r="B111" s="4"/>
      <c r="C111" s="4"/>
      <c r="D111" s="4"/>
      <c r="E111" s="4"/>
      <c r="F111" s="4"/>
      <c r="G111" s="4"/>
    </row>
    <row r="112" customFormat="false" ht="19.7" hidden="false" customHeight="true" outlineLevel="0" collapsed="false">
      <c r="A112" s="3" t="s">
        <v>103</v>
      </c>
      <c r="B112" s="3"/>
      <c r="C112" s="3"/>
      <c r="D112" s="3"/>
      <c r="E112" s="3"/>
      <c r="F112" s="3"/>
      <c r="G112" s="3"/>
      <c r="H112" s="3"/>
      <c r="I112" s="3"/>
      <c r="J112" s="3"/>
    </row>
    <row r="113" customFormat="false" ht="13.4" hidden="false" customHeight="true" outlineLevel="0" collapsed="false">
      <c r="A113" s="4" t="s">
        <v>104</v>
      </c>
      <c r="B113" s="4"/>
      <c r="C113" s="4"/>
      <c r="D113" s="4"/>
      <c r="E113" s="4"/>
      <c r="F113" s="4"/>
      <c r="G113" s="4"/>
    </row>
    <row r="114" customFormat="false" ht="13.4" hidden="false" customHeight="true" outlineLevel="0" collapsed="false">
      <c r="A114" s="4" t="s">
        <v>105</v>
      </c>
      <c r="B114" s="4"/>
      <c r="C114" s="4"/>
      <c r="D114" s="4"/>
      <c r="E114" s="4"/>
      <c r="F114" s="4"/>
      <c r="G114" s="4"/>
    </row>
    <row r="115" customFormat="false" ht="12.8" hidden="false" customHeight="false" outlineLevel="0" collapsed="false">
      <c r="A115" s="4" t="s">
        <v>106</v>
      </c>
    </row>
    <row r="116" customFormat="false" ht="13.4" hidden="false" customHeight="true" outlineLevel="0" collapsed="false">
      <c r="A116" s="4" t="s">
        <v>107</v>
      </c>
      <c r="B116" s="4"/>
      <c r="C116" s="4"/>
      <c r="D116" s="4"/>
      <c r="E116" s="4"/>
      <c r="F116" s="4"/>
      <c r="G116" s="4"/>
    </row>
    <row r="117" customFormat="false" ht="12.8" hidden="false" customHeight="false" outlineLevel="0" collapsed="false">
      <c r="A117" s="4" t="s">
        <v>108</v>
      </c>
    </row>
    <row r="118" customFormat="false" ht="12.8" hidden="false" customHeight="false" outlineLevel="0" collapsed="false">
      <c r="A118" s="4" t="s">
        <v>109</v>
      </c>
    </row>
    <row r="119" customFormat="false" ht="13.4" hidden="false" customHeight="true" outlineLevel="0" collapsed="false">
      <c r="A119" s="4" t="s">
        <v>110</v>
      </c>
      <c r="B119" s="4"/>
      <c r="C119" s="4"/>
      <c r="D119" s="4"/>
      <c r="E119" s="4"/>
      <c r="F119" s="4"/>
      <c r="G119" s="4"/>
    </row>
    <row r="120" customFormat="false" ht="13.4" hidden="false" customHeight="true" outlineLevel="0" collapsed="false">
      <c r="A120" s="4" t="s">
        <v>111</v>
      </c>
      <c r="B120" s="4"/>
      <c r="C120" s="4"/>
      <c r="D120" s="4"/>
      <c r="E120" s="4"/>
      <c r="F120" s="4"/>
      <c r="G120" s="4"/>
    </row>
    <row r="121" customFormat="false" ht="13.4" hidden="false" customHeight="true" outlineLevel="0" collapsed="false">
      <c r="A121" s="4" t="s">
        <v>112</v>
      </c>
      <c r="B121" s="4"/>
      <c r="C121" s="4"/>
      <c r="D121" s="4"/>
      <c r="E121" s="4"/>
      <c r="F121" s="4"/>
      <c r="G121" s="4"/>
    </row>
    <row r="122" customFormat="false" ht="19.7" hidden="false" customHeight="true" outlineLevel="0" collapsed="false">
      <c r="A122" s="3" t="s">
        <v>113</v>
      </c>
      <c r="B122" s="3"/>
      <c r="C122" s="3"/>
      <c r="D122" s="3"/>
      <c r="E122" s="3"/>
      <c r="F122" s="3"/>
      <c r="G122" s="3"/>
      <c r="H122" s="3"/>
      <c r="I122" s="3"/>
      <c r="J122" s="3"/>
    </row>
    <row r="123" customFormat="false" ht="13.4" hidden="false" customHeight="true" outlineLevel="0" collapsed="false">
      <c r="A123" s="6" t="s">
        <v>114</v>
      </c>
      <c r="B123" s="6"/>
      <c r="C123" s="6"/>
      <c r="D123" s="6"/>
      <c r="E123" s="6"/>
      <c r="F123" s="6"/>
      <c r="G123" s="6"/>
    </row>
    <row r="124" customFormat="false" ht="13.4" hidden="false" customHeight="true" outlineLevel="0" collapsed="false">
      <c r="A124" s="6" t="s">
        <v>115</v>
      </c>
      <c r="B124" s="6"/>
      <c r="C124" s="6"/>
      <c r="D124" s="6"/>
      <c r="E124" s="6"/>
      <c r="F124" s="6"/>
      <c r="G124" s="6"/>
    </row>
    <row r="125" customFormat="false" ht="13.4" hidden="false" customHeight="true" outlineLevel="0" collapsed="false">
      <c r="A125" s="6" t="s">
        <v>116</v>
      </c>
      <c r="B125" s="6"/>
      <c r="C125" s="6"/>
      <c r="D125" s="6"/>
      <c r="E125" s="6"/>
      <c r="F125" s="6"/>
      <c r="G125" s="6"/>
    </row>
    <row r="126" customFormat="false" ht="13.4" hidden="false" customHeight="true" outlineLevel="0" collapsed="false">
      <c r="A126" s="6" t="s">
        <v>117</v>
      </c>
      <c r="B126" s="6"/>
      <c r="C126" s="6"/>
      <c r="D126" s="6"/>
      <c r="E126" s="6"/>
      <c r="F126" s="6"/>
      <c r="G126" s="6"/>
    </row>
    <row r="127" customFormat="false" ht="13.4" hidden="false" customHeight="true" outlineLevel="0" collapsed="false">
      <c r="A127" s="6" t="s">
        <v>118</v>
      </c>
      <c r="B127" s="6"/>
      <c r="C127" s="6"/>
      <c r="D127" s="6"/>
      <c r="E127" s="6"/>
      <c r="F127" s="6"/>
      <c r="G127" s="6"/>
    </row>
    <row r="130" customFormat="false" ht="12.8" hidden="false" customHeight="false" outlineLevel="0" collapsed="false">
      <c r="A130" s="14"/>
      <c r="B130" s="15"/>
      <c r="C130" s="15"/>
      <c r="D130" s="15"/>
      <c r="E130" s="15"/>
      <c r="F130" s="15"/>
      <c r="G130" s="15"/>
      <c r="H130" s="15"/>
      <c r="I130" s="15"/>
      <c r="J130" s="16"/>
    </row>
    <row r="131" customFormat="false" ht="30.15" hidden="false" customHeight="true" outlineLevel="0" collapsed="false">
      <c r="A131" s="17" t="s">
        <v>119</v>
      </c>
      <c r="B131" s="17"/>
      <c r="C131" s="17"/>
      <c r="D131" s="17"/>
      <c r="E131" s="17"/>
      <c r="F131" s="17"/>
      <c r="G131" s="18"/>
      <c r="H131" s="18"/>
      <c r="I131" s="19"/>
      <c r="J131" s="20"/>
    </row>
    <row r="132" s="25" customFormat="true" ht="16.15" hidden="false" customHeight="false" outlineLevel="0" collapsed="false">
      <c r="A132" s="21" t="s">
        <v>120</v>
      </c>
      <c r="B132" s="22"/>
      <c r="C132" s="22"/>
      <c r="D132" s="22"/>
      <c r="E132" s="22"/>
      <c r="F132" s="22"/>
      <c r="G132" s="22"/>
      <c r="H132" s="22"/>
      <c r="I132" s="23"/>
      <c r="J132" s="24"/>
    </row>
    <row r="133" customFormat="false" ht="19.7" hidden="false" customHeight="false" outlineLevel="0" collapsed="false">
      <c r="A133" s="26" t="s">
        <v>121</v>
      </c>
      <c r="B133" s="18"/>
      <c r="C133" s="18"/>
      <c r="D133" s="18"/>
      <c r="E133" s="18"/>
      <c r="F133" s="18"/>
      <c r="G133" s="18"/>
      <c r="H133" s="18"/>
      <c r="I133" s="19"/>
      <c r="J133" s="20"/>
    </row>
    <row r="134" customFormat="false" ht="36.85" hidden="false" customHeight="true" outlineLevel="0" collapsed="false">
      <c r="A134" s="27" t="s">
        <v>122</v>
      </c>
      <c r="B134" s="27"/>
      <c r="C134" s="27"/>
      <c r="D134" s="27"/>
      <c r="E134" s="27"/>
      <c r="F134" s="27"/>
      <c r="G134" s="27"/>
      <c r="H134" s="27"/>
      <c r="I134" s="27"/>
      <c r="J134" s="27"/>
    </row>
    <row r="135" customFormat="false" ht="12.8" hidden="false" customHeight="false" outlineLevel="0" collapsed="false">
      <c r="A135" s="28"/>
      <c r="B135" s="29"/>
      <c r="C135" s="29"/>
      <c r="D135" s="29"/>
      <c r="E135" s="29"/>
      <c r="F135" s="29"/>
      <c r="G135" s="29"/>
      <c r="H135" s="29"/>
      <c r="I135" s="29"/>
      <c r="J135" s="30"/>
    </row>
    <row r="136" customFormat="false" ht="12.8" hidden="false" customHeight="false" outlineLevel="0" collapsed="false">
      <c r="A136" s="31"/>
      <c r="B136" s="31"/>
      <c r="C136" s="31"/>
      <c r="D136" s="31"/>
      <c r="E136" s="31"/>
      <c r="F136" s="31"/>
      <c r="G136" s="31"/>
      <c r="H136" s="31"/>
      <c r="I136" s="31"/>
    </row>
  </sheetData>
  <mergeCells count="122">
    <mergeCell ref="A2:J3"/>
    <mergeCell ref="A5:J5"/>
    <mergeCell ref="A6:J6"/>
    <mergeCell ref="A7:G7"/>
    <mergeCell ref="A8:G8"/>
    <mergeCell ref="A9:G9"/>
    <mergeCell ref="A10:G10"/>
    <mergeCell ref="A11:G11"/>
    <mergeCell ref="A12:G12"/>
    <mergeCell ref="A13:G13"/>
    <mergeCell ref="A14:G14"/>
    <mergeCell ref="A15:G15"/>
    <mergeCell ref="A18:J18"/>
    <mergeCell ref="A19:B19"/>
    <mergeCell ref="C19:D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30:B30"/>
    <mergeCell ref="A31:D31"/>
    <mergeCell ref="A32:D32"/>
    <mergeCell ref="A33:D33"/>
    <mergeCell ref="A34:D34"/>
    <mergeCell ref="A35:D35"/>
    <mergeCell ref="A36:D36"/>
    <mergeCell ref="A38:D38"/>
    <mergeCell ref="A39:D39"/>
    <mergeCell ref="A40:D40"/>
    <mergeCell ref="A41:D41"/>
    <mergeCell ref="A42:D42"/>
    <mergeCell ref="A43:D43"/>
    <mergeCell ref="A44:D44"/>
    <mergeCell ref="A46:D46"/>
    <mergeCell ref="A47:D47"/>
    <mergeCell ref="A48:D48"/>
    <mergeCell ref="A49:D49"/>
    <mergeCell ref="A50:D50"/>
    <mergeCell ref="A51:D51"/>
    <mergeCell ref="A52:D52"/>
    <mergeCell ref="A53:D53"/>
    <mergeCell ref="A55:D55"/>
    <mergeCell ref="A56:D56"/>
    <mergeCell ref="A57:D57"/>
    <mergeCell ref="A58:D58"/>
    <mergeCell ref="A59:D59"/>
    <mergeCell ref="A60:D60"/>
    <mergeCell ref="A61:D61"/>
    <mergeCell ref="A62:D62"/>
    <mergeCell ref="A64:D64"/>
    <mergeCell ref="A65:D65"/>
    <mergeCell ref="A66:D66"/>
    <mergeCell ref="A67:D67"/>
    <mergeCell ref="A68:D68"/>
    <mergeCell ref="A69:D69"/>
    <mergeCell ref="A70:D70"/>
    <mergeCell ref="A71:D71"/>
    <mergeCell ref="A74:J74"/>
    <mergeCell ref="A75:J75"/>
    <mergeCell ref="A76:G76"/>
    <mergeCell ref="A77:G77"/>
    <mergeCell ref="A78:G78"/>
    <mergeCell ref="A79:G79"/>
    <mergeCell ref="A80:G80"/>
    <mergeCell ref="A81:G81"/>
    <mergeCell ref="A82:G82"/>
    <mergeCell ref="A83:G83"/>
    <mergeCell ref="A84:G84"/>
    <mergeCell ref="A85:J85"/>
    <mergeCell ref="A86:J86"/>
    <mergeCell ref="A87:G87"/>
    <mergeCell ref="A88:G88"/>
    <mergeCell ref="A89:G89"/>
    <mergeCell ref="A90:G90"/>
    <mergeCell ref="A91:G91"/>
    <mergeCell ref="A92:G92"/>
    <mergeCell ref="A93:F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J112"/>
    <mergeCell ref="A113:G113"/>
    <mergeCell ref="A114:G114"/>
    <mergeCell ref="A116:G116"/>
    <mergeCell ref="A119:G119"/>
    <mergeCell ref="A120:G120"/>
    <mergeCell ref="A121:G121"/>
    <mergeCell ref="A122:J122"/>
    <mergeCell ref="A123:G123"/>
    <mergeCell ref="A124:G124"/>
    <mergeCell ref="A125:G125"/>
    <mergeCell ref="A126:G126"/>
    <mergeCell ref="A127:G127"/>
    <mergeCell ref="A131:F131"/>
    <mergeCell ref="A134:J134"/>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C4FF"/>
    <pageSetUpPr fitToPage="false"/>
  </sheetPr>
  <dimension ref="K9:L28"/>
  <sheetViews>
    <sheetView showFormulas="false" showGridLines="true" showRowColHeaders="true" showZeros="true" rightToLeft="false" tabSelected="true" showOutlineSymbols="true" defaultGridColor="true" view="normal" topLeftCell="A3" colorId="64" zoomScale="67" zoomScaleNormal="67" zoomScalePageLayoutView="100" workbookViewId="0">
      <selection pane="topLeft" activeCell="K33" activeCellId="0" sqref="K33"/>
    </sheetView>
  </sheetViews>
  <sheetFormatPr defaultColWidth="11.53515625" defaultRowHeight="12.8" zeroHeight="false" outlineLevelRow="0" outlineLevelCol="0"/>
  <cols>
    <col collapsed="false" customWidth="true" hidden="false" outlineLevel="0" max="2" min="2" style="0" width="25.26"/>
    <col collapsed="false" customWidth="true" hidden="false" outlineLevel="0" max="11" min="11" style="0" width="24.18"/>
  </cols>
  <sheetData>
    <row r="9" customFormat="false" ht="12.8" hidden="false" customHeight="false" outlineLevel="0" collapsed="false">
      <c r="K9" s="32" t="s">
        <v>123</v>
      </c>
      <c r="L9" s="0" t="s">
        <v>124</v>
      </c>
    </row>
    <row r="10" customFormat="false" ht="12.8" hidden="false" customHeight="false" outlineLevel="0" collapsed="false">
      <c r="K10" s="0" t="s">
        <v>125</v>
      </c>
      <c r="L10" s="0" t="n">
        <f aca="false">AVERAGE(   IFERROR(Governance!F13,0),   IFERROR(Governance!F21,0),   IFERROR(Governance!F29,0),   IFERROR(Governance!F37,0),   IFERROR(Governance!F45,0) )</f>
        <v>0</v>
      </c>
    </row>
    <row r="11" customFormat="false" ht="12.8" hidden="false" customHeight="false" outlineLevel="0" collapsed="false">
      <c r="K11" s="0" t="s">
        <v>126</v>
      </c>
      <c r="L11" s="0" t="n">
        <f aca="false">AVERAGE(   IFERROR(Strategy!F12,0),   IFERROR(Strategy!F20,0),   IFERROR(Strategy!F28,0) )</f>
        <v>0</v>
      </c>
    </row>
    <row r="12" customFormat="false" ht="12.8" hidden="false" customHeight="false" outlineLevel="0" collapsed="false">
      <c r="K12" s="0" t="s">
        <v>127</v>
      </c>
      <c r="L12" s="0" t="n">
        <f aca="false">AVERAGE(   IFERROR(Organization!F12,0),   IFERROR(Organization!F20,0) )</f>
        <v>0</v>
      </c>
    </row>
    <row r="13" customFormat="false" ht="12.8" hidden="false" customHeight="false" outlineLevel="0" collapsed="false">
      <c r="K13" s="0" t="s">
        <v>128</v>
      </c>
      <c r="L13" s="0" t="n">
        <f aca="false">AVERAGE(   IFERROR(Detection!F12,0),   IFERROR(Detection!F20,0),   IFERROR(Detection!F28,0) )</f>
        <v>0</v>
      </c>
    </row>
    <row r="14" customFormat="false" ht="12.8" hidden="false" customHeight="false" outlineLevel="0" collapsed="false">
      <c r="K14" s="0" t="s">
        <v>129</v>
      </c>
      <c r="L14" s="0" t="n">
        <f aca="false">AVERAGE(   IFERROR(Monitoring!F12,0),   IFERROR(Monitoring!F20,0),   IFERROR(Monitoring!F28,0),   IFERROR(Monitoring!F36,0) )</f>
        <v>0</v>
      </c>
    </row>
    <row r="15" customFormat="false" ht="12.8" hidden="false" customHeight="false" outlineLevel="0" collapsed="false">
      <c r="K15" s="0" t="s">
        <v>130</v>
      </c>
      <c r="L15" s="0" t="n">
        <f aca="false">AVERAGE(   IFERROR('Incident Response'!F12,0) )</f>
        <v>0</v>
      </c>
    </row>
    <row r="16" customFormat="false" ht="12.8" hidden="false" customHeight="false" outlineLevel="0" collapsed="false">
      <c r="K16" s="0" t="s">
        <v>131</v>
      </c>
      <c r="L16" s="0" t="n">
        <f aca="false">AVERAGE(   IFERROR(MLOPS!F12,0),   IFERROR(MLOPS!F20,0) )</f>
        <v>0</v>
      </c>
    </row>
    <row r="17" customFormat="false" ht="12.8" hidden="false" customHeight="false" outlineLevel="0" collapsed="false">
      <c r="K17" s="0" t="s">
        <v>132</v>
      </c>
      <c r="L17" s="0" t="n">
        <f aca="false">AVERAGE(   IFERROR(Deployment!F12,0) )</f>
        <v>0</v>
      </c>
    </row>
    <row r="18" customFormat="false" ht="12.8" hidden="false" customHeight="false" outlineLevel="0" collapsed="false">
      <c r="K18" s="0" t="s">
        <v>133</v>
      </c>
      <c r="L18" s="0" t="n">
        <f aca="false">AVERAGE(   IFERROR(Infrastructure!F12,0),   IFERROR(Infrastructure!F20,0),   IFERROR(Infrastructure!F28,0),   IFERROR(Infrastructure!F36,0),   IFERROR(Infrastructure!F44,0) )</f>
        <v>0</v>
      </c>
    </row>
    <row r="19" customFormat="false" ht="12.8" hidden="false" customHeight="false" outlineLevel="0" collapsed="false">
      <c r="K19" s="0" t="s">
        <v>134</v>
      </c>
      <c r="L19" s="0" t="n">
        <f aca="false">AVERAGE(   IFERROR(Resources!F12,0),   IFERROR(Resources!F20,0) )</f>
        <v>0</v>
      </c>
    </row>
    <row r="20" customFormat="false" ht="12.8" hidden="false" customHeight="false" outlineLevel="0" collapsed="false">
      <c r="K20" s="0" t="s">
        <v>135</v>
      </c>
      <c r="L20" s="0" t="n">
        <f aca="false">AVERAGE(   IFERROR('Data Security'!F12,0),   IFERROR('Data Security'!F20,0),   IFERROR('Data Security'!F28,0) )</f>
        <v>0</v>
      </c>
    </row>
    <row r="21" customFormat="false" ht="12.8" hidden="false" customHeight="false" outlineLevel="0" collapsed="false">
      <c r="K21" s="0" t="s">
        <v>136</v>
      </c>
      <c r="L21" s="0" t="n">
        <f aca="false">AVERAGE(   IFERROR('Model Security'!F12,0),   IFERROR('Model Security'!F20,0),   IFERROR('Model Security'!F28,0),   IFERROR('Model Security'!F36,0) )</f>
        <v>0</v>
      </c>
    </row>
    <row r="22" customFormat="false" ht="12.8" hidden="false" customHeight="false" outlineLevel="0" collapsed="false">
      <c r="K22" s="0" t="s">
        <v>137</v>
      </c>
      <c r="L22" s="0" t="n">
        <f aca="false">AVERAGE(   IFERROR('LLM Security'!F13,0),   IFERROR('LLM Security'!F20,0),   IFERROR('LLM Security'!F28,0),   IFERROR('LLM Security'!F36,0) )</f>
        <v>0</v>
      </c>
    </row>
    <row r="23" customFormat="false" ht="12.8" hidden="false" customHeight="false" outlineLevel="0" collapsed="false">
      <c r="K23" s="0" t="s">
        <v>138</v>
      </c>
      <c r="L23" s="0" t="n">
        <f aca="false">AVERAGE(   IFERROR('Agent Security'!F12,0),   IFERROR('Agent Security'!F20,0),   IFERROR('Agent Security'!F28,0),   IFERROR('Agent Security'!F36,0) )</f>
        <v>0</v>
      </c>
    </row>
    <row r="24" customFormat="false" ht="12.8" hidden="false" customHeight="false" outlineLevel="0" collapsed="false">
      <c r="K24" s="0" t="s">
        <v>139</v>
      </c>
      <c r="L24" s="0" t="n">
        <f aca="false">AVERAGE(   IFERROR('LLM-Agent Guardrails'!F12,0) )</f>
        <v>0</v>
      </c>
    </row>
    <row r="25" customFormat="false" ht="12.8" hidden="false" customHeight="false" outlineLevel="0" collapsed="false">
      <c r="K25" s="0" t="s">
        <v>140</v>
      </c>
      <c r="L25" s="0" t="n">
        <f aca="false">AVERAGE(   IFERROR('ATLAS Tactics Coverage'!F12,0),   IFERROR('ATLAS Tactics Coverage'!F20,0),   IFERROR('ATLAS Tactics Coverage'!F28,0),   IFERROR('ATLAS Tactics Coverage'!F36,0),   IFERROR('ATLAS Tactics Coverage'!F44,0),   IFERROR('ATLAS Tactics Coverage'!F52,0),   IFERROR('ATLAS Tactics Coverage'!F60,0),   IFERROR('ATLAS Tactics Coverage'!F68,0),   IFERROR('ATLAS Tactics Coverage'!F76,0),   IFERROR('ATLAS Tactics Coverage'!F84,0),   IFERROR('ATLAS Tactics Coverage'!F92,0),   IFERROR('ATLAS Tactics Coverage'!F100,0),   IFERROR('ATLAS Tactics Coverage'!F108,0),   IFERROR('ATLAS Tactics Coverage'!F116,0) )</f>
        <v>0</v>
      </c>
    </row>
    <row r="26" customFormat="false" ht="12.8" hidden="false" customHeight="false" outlineLevel="0" collapsed="false">
      <c r="K26" s="0" t="s">
        <v>141</v>
      </c>
      <c r="L26" s="0" t="n">
        <f aca="false">AVERAGE(   IFERROR('ATLAS Mitigations Coverage'!F12,0),   IFERROR('ATLAS Mitigations Coverage'!F20,0),   IFERROR('ATLAS Mitigations Coverage'!F28,0),   IFERROR('ATLAS Mitigations Coverage'!F36,0),   IFERROR('ATLAS Mitigations Coverage'!F44,0),   IFERROR('ATLAS Mitigations Coverage'!F52,0),   IFERROR('ATLAS Mitigations Coverage'!F60,0),   IFERROR('ATLAS Mitigations Coverage'!F68,0),   IFERROR('ATLAS Mitigations Coverage'!F76,0),   IFERROR('ATLAS Mitigations Coverage'!F84,0),   IFERROR('ATLAS Mitigations Coverage'!F92,0),   IFERROR('ATLAS Mitigations Coverage'!F100,0),   IFERROR('ATLAS Mitigations Coverage'!F108,0),   IFERROR('ATLAS Mitigations Coverage'!F116,0),   IFERROR('ATLAS Mitigations Coverage'!F124,0),   IFERROR('ATLAS Mitigations Coverage'!F132,0),   IFERROR('ATLAS Mitigations Coverage'!F140,0),   IFERROR('ATLAS Mitigations Coverage'!F148,0),   IFERROR('ATLAS Mitigations Coverage'!F156,0),   IFERROR('ATLAS Mitigations Coverage'!F164,0),   IFERROR('ATLAS Mitigations Coverage'!F172,0),   IFERROR('ATLAS Mitigations Coverage'!F180,0),   IFERROR('ATLAS Mitigations Coverage'!F188,0),   IFERROR('ATLAS Mitigations Coverage'!F196,0) )</f>
        <v>0</v>
      </c>
    </row>
    <row r="28" customFormat="false" ht="12.8" hidden="false" customHeight="false" outlineLevel="0" collapsed="false">
      <c r="K28" s="0" t="s">
        <v>142</v>
      </c>
      <c r="L28" s="0" t="n">
        <f aca="false">AVERAGE(L10:L26)</f>
        <v>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4"/>
  <sheetViews>
    <sheetView showFormulas="false" showGridLines="true" showRowColHeaders="true" showZeros="true" rightToLeft="false" tabSelected="false" showOutlineSymbols="true" defaultGridColor="true" view="normal" topLeftCell="A30" colorId="64" zoomScale="67" zoomScaleNormal="67" zoomScalePageLayoutView="100" workbookViewId="0">
      <selection pane="topLeft" activeCell="F45" activeCellId="0" sqref="F45"/>
    </sheetView>
  </sheetViews>
  <sheetFormatPr defaultColWidth="11.53515625" defaultRowHeight="12.8" zeroHeight="false" outlineLevelRow="0" outlineLevelCol="0"/>
  <cols>
    <col collapsed="false" customWidth="true" hidden="false" outlineLevel="0" max="1" min="1" style="0" width="18.08"/>
    <col collapsed="false" customWidth="true" hidden="false" outlineLevel="0" max="2" min="2" style="0" width="20.32"/>
    <col collapsed="false" customWidth="false" hidden="false" outlineLevel="0" max="3" min="3" style="33" width="11.53"/>
    <col collapsed="false" customWidth="true" hidden="false" outlineLevel="0" max="4" min="4" style="0" width="22.57"/>
    <col collapsed="false" customWidth="true" hidden="false" outlineLevel="0" max="5" min="5" style="0" width="19.58"/>
    <col collapsed="false" customWidth="true" hidden="false" outlineLevel="0" max="7" min="7" style="0" width="26.16"/>
  </cols>
  <sheetData>
    <row r="1" customFormat="false" ht="12.8" hidden="false" customHeight="false" outlineLevel="0" collapsed="false">
      <c r="A1" s="34" t="s">
        <v>125</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12.8" hidden="true" customHeight="false" outlineLevel="0" collapsed="false"/>
    <row r="6" customFormat="false" ht="33.5" hidden="false" customHeight="true" outlineLevel="0" collapsed="false">
      <c r="A6" s="35" t="s">
        <v>105</v>
      </c>
      <c r="B6" s="36" t="s">
        <v>106</v>
      </c>
      <c r="C6" s="36" t="s">
        <v>143</v>
      </c>
      <c r="D6" s="36" t="s">
        <v>144</v>
      </c>
      <c r="E6" s="36" t="s">
        <v>109</v>
      </c>
      <c r="F6" s="36" t="s">
        <v>145</v>
      </c>
      <c r="G6" s="37" t="s">
        <v>146</v>
      </c>
    </row>
    <row r="7" customFormat="false" ht="59.5" hidden="false" customHeight="true" outlineLevel="0" collapsed="false">
      <c r="A7" s="38" t="s">
        <v>125</v>
      </c>
      <c r="B7" s="39" t="s">
        <v>147</v>
      </c>
      <c r="C7" s="39" t="s">
        <v>148</v>
      </c>
      <c r="D7" s="39" t="s">
        <v>149</v>
      </c>
      <c r="E7" s="39" t="s">
        <v>150</v>
      </c>
      <c r="F7" s="40"/>
      <c r="G7" s="41"/>
    </row>
    <row r="8" customFormat="false" ht="36.85" hidden="false" customHeight="false" outlineLevel="0" collapsed="false">
      <c r="A8" s="38" t="s">
        <v>125</v>
      </c>
      <c r="B8" s="4" t="s">
        <v>147</v>
      </c>
      <c r="C8" s="4" t="s">
        <v>151</v>
      </c>
      <c r="D8" s="4" t="s">
        <v>152</v>
      </c>
      <c r="E8" s="4" t="s">
        <v>153</v>
      </c>
      <c r="F8" s="42"/>
      <c r="G8" s="41"/>
    </row>
    <row r="9" customFormat="false" ht="36.85" hidden="false" customHeight="true" outlineLevel="0" collapsed="false">
      <c r="A9" s="38" t="s">
        <v>125</v>
      </c>
      <c r="B9" s="4" t="s">
        <v>147</v>
      </c>
      <c r="C9" s="4" t="s">
        <v>154</v>
      </c>
      <c r="D9" s="4" t="s">
        <v>155</v>
      </c>
      <c r="E9" s="4" t="s">
        <v>156</v>
      </c>
      <c r="F9" s="42"/>
      <c r="G9" s="41"/>
    </row>
    <row r="10" customFormat="false" ht="33.5" hidden="false" customHeight="true" outlineLevel="0" collapsed="false">
      <c r="A10" s="38" t="s">
        <v>125</v>
      </c>
      <c r="B10" s="4" t="s">
        <v>147</v>
      </c>
      <c r="C10" s="4" t="s">
        <v>157</v>
      </c>
      <c r="D10" s="4" t="s">
        <v>158</v>
      </c>
      <c r="E10" s="4" t="s">
        <v>159</v>
      </c>
      <c r="F10" s="42"/>
      <c r="G10" s="41"/>
    </row>
    <row r="11" customFormat="false" ht="25.15" hidden="false" customHeight="false" outlineLevel="0" collapsed="false">
      <c r="A11" s="38" t="s">
        <v>125</v>
      </c>
      <c r="B11" s="4" t="s">
        <v>147</v>
      </c>
      <c r="C11" s="4" t="s">
        <v>160</v>
      </c>
      <c r="D11" s="4" t="s">
        <v>161</v>
      </c>
      <c r="E11" s="4" t="s">
        <v>162</v>
      </c>
      <c r="F11" s="42"/>
      <c r="G11" s="41"/>
    </row>
    <row r="12" customFormat="false" ht="12.8" hidden="false" customHeight="false" outlineLevel="0" collapsed="false">
      <c r="A12" s="43"/>
      <c r="B12" s="44"/>
      <c r="C12" s="44"/>
      <c r="D12" s="45"/>
      <c r="E12" s="44"/>
      <c r="F12" s="44"/>
      <c r="G12" s="46"/>
    </row>
    <row r="13" customFormat="false" ht="13.4" hidden="false" customHeight="true" outlineLevel="0" collapsed="false">
      <c r="A13" s="47"/>
      <c r="B13" s="18"/>
      <c r="C13" s="48"/>
      <c r="D13" s="49" t="s">
        <v>163</v>
      </c>
      <c r="E13" s="49"/>
      <c r="F13" s="50" t="e">
        <f aca="false">AVERAGE(F7:F11)</f>
        <v>#DIV/0!</v>
      </c>
      <c r="G13" s="51"/>
    </row>
    <row r="14" s="33" customFormat="true" ht="12.8" hidden="false" customHeight="false" outlineLevel="0" collapsed="false">
      <c r="A14" s="43"/>
      <c r="B14" s="44"/>
      <c r="C14" s="44"/>
      <c r="D14" s="45"/>
      <c r="E14" s="44"/>
      <c r="F14" s="44"/>
      <c r="G14" s="46"/>
    </row>
    <row r="15" customFormat="false" ht="36.85" hidden="false" customHeight="false" outlineLevel="0" collapsed="false">
      <c r="A15" s="52" t="s">
        <v>125</v>
      </c>
      <c r="B15" s="53" t="s">
        <v>164</v>
      </c>
      <c r="C15" s="53" t="s">
        <v>148</v>
      </c>
      <c r="D15" s="53" t="s">
        <v>165</v>
      </c>
      <c r="E15" s="53" t="s">
        <v>166</v>
      </c>
      <c r="F15" s="40"/>
      <c r="G15" s="54"/>
    </row>
    <row r="16" customFormat="false" ht="25.15" hidden="false" customHeight="false" outlineLevel="0" collapsed="false">
      <c r="A16" s="38" t="s">
        <v>125</v>
      </c>
      <c r="B16" s="4" t="s">
        <v>164</v>
      </c>
      <c r="C16" s="4" t="s">
        <v>151</v>
      </c>
      <c r="D16" s="4" t="s">
        <v>167</v>
      </c>
      <c r="E16" s="4" t="s">
        <v>168</v>
      </c>
      <c r="F16" s="42"/>
      <c r="G16" s="41"/>
    </row>
    <row r="17" customFormat="false" ht="25.15" hidden="false" customHeight="false" outlineLevel="0" collapsed="false">
      <c r="A17" s="38" t="s">
        <v>125</v>
      </c>
      <c r="B17" s="4" t="s">
        <v>164</v>
      </c>
      <c r="C17" s="4" t="s">
        <v>154</v>
      </c>
      <c r="D17" s="4" t="s">
        <v>169</v>
      </c>
      <c r="E17" s="4" t="s">
        <v>170</v>
      </c>
      <c r="F17" s="42"/>
      <c r="G17" s="41"/>
    </row>
    <row r="18" customFormat="false" ht="25.15" hidden="false" customHeight="false" outlineLevel="0" collapsed="false">
      <c r="A18" s="38" t="s">
        <v>125</v>
      </c>
      <c r="B18" s="4" t="s">
        <v>164</v>
      </c>
      <c r="C18" s="4" t="s">
        <v>157</v>
      </c>
      <c r="D18" s="4" t="s">
        <v>171</v>
      </c>
      <c r="E18" s="4" t="s">
        <v>172</v>
      </c>
      <c r="F18" s="42"/>
      <c r="G18" s="41"/>
    </row>
    <row r="19" customFormat="false" ht="25.15" hidden="false" customHeight="false" outlineLevel="0" collapsed="false">
      <c r="A19" s="38" t="s">
        <v>125</v>
      </c>
      <c r="B19" s="4" t="s">
        <v>164</v>
      </c>
      <c r="C19" s="4" t="s">
        <v>160</v>
      </c>
      <c r="D19" s="4" t="s">
        <v>173</v>
      </c>
      <c r="E19" s="4" t="s">
        <v>174</v>
      </c>
      <c r="F19" s="42"/>
      <c r="G19" s="41"/>
    </row>
    <row r="20" customFormat="false" ht="12.8" hidden="false" customHeight="false" outlineLevel="0" collapsed="false">
      <c r="A20" s="55"/>
      <c r="B20" s="56"/>
      <c r="C20" s="56"/>
      <c r="D20" s="57"/>
      <c r="E20" s="56"/>
      <c r="F20" s="56"/>
      <c r="G20" s="58"/>
    </row>
    <row r="21" customFormat="false" ht="14.25" hidden="false" customHeight="true" outlineLevel="0" collapsed="false">
      <c r="A21" s="47"/>
      <c r="B21" s="18"/>
      <c r="C21" s="48"/>
      <c r="D21" s="59" t="s">
        <v>175</v>
      </c>
      <c r="E21" s="59"/>
      <c r="F21" s="50" t="e">
        <f aca="false">AVERAGE(F15:F19)</f>
        <v>#DIV/0!</v>
      </c>
      <c r="G21" s="51"/>
    </row>
    <row r="22" customFormat="false" ht="12.8" hidden="false" customHeight="false" outlineLevel="0" collapsed="false">
      <c r="A22" s="43"/>
      <c r="B22" s="44"/>
      <c r="C22" s="44"/>
      <c r="D22" s="60"/>
      <c r="E22" s="44"/>
      <c r="F22" s="44"/>
      <c r="G22" s="46"/>
    </row>
    <row r="23" customFormat="false" ht="25.15" hidden="false" customHeight="false" outlineLevel="0" collapsed="false">
      <c r="A23" s="52" t="s">
        <v>125</v>
      </c>
      <c r="B23" s="53" t="s">
        <v>176</v>
      </c>
      <c r="C23" s="53" t="s">
        <v>148</v>
      </c>
      <c r="D23" s="53" t="s">
        <v>177</v>
      </c>
      <c r="E23" s="53" t="s">
        <v>178</v>
      </c>
      <c r="F23" s="40"/>
      <c r="G23" s="54"/>
    </row>
    <row r="24" customFormat="false" ht="25.15" hidden="false" customHeight="false" outlineLevel="0" collapsed="false">
      <c r="A24" s="38" t="s">
        <v>125</v>
      </c>
      <c r="B24" s="4" t="s">
        <v>176</v>
      </c>
      <c r="C24" s="4" t="s">
        <v>151</v>
      </c>
      <c r="D24" s="4" t="s">
        <v>179</v>
      </c>
      <c r="E24" s="4" t="s">
        <v>180</v>
      </c>
      <c r="F24" s="42"/>
      <c r="G24" s="41"/>
    </row>
    <row r="25" customFormat="false" ht="25.15" hidden="false" customHeight="false" outlineLevel="0" collapsed="false">
      <c r="A25" s="38" t="s">
        <v>125</v>
      </c>
      <c r="B25" s="4" t="s">
        <v>176</v>
      </c>
      <c r="C25" s="4" t="s">
        <v>154</v>
      </c>
      <c r="D25" s="4" t="s">
        <v>181</v>
      </c>
      <c r="E25" s="4" t="s">
        <v>182</v>
      </c>
      <c r="F25" s="42"/>
      <c r="G25" s="41"/>
    </row>
    <row r="26" customFormat="false" ht="25.15" hidden="false" customHeight="false" outlineLevel="0" collapsed="false">
      <c r="A26" s="38" t="s">
        <v>125</v>
      </c>
      <c r="B26" s="4" t="s">
        <v>176</v>
      </c>
      <c r="C26" s="4" t="s">
        <v>157</v>
      </c>
      <c r="D26" s="4" t="s">
        <v>183</v>
      </c>
      <c r="E26" s="4" t="s">
        <v>184</v>
      </c>
      <c r="F26" s="42"/>
      <c r="G26" s="41"/>
    </row>
    <row r="27" customFormat="false" ht="25.15" hidden="false" customHeight="false" outlineLevel="0" collapsed="false">
      <c r="A27" s="38" t="s">
        <v>125</v>
      </c>
      <c r="B27" s="4" t="s">
        <v>176</v>
      </c>
      <c r="C27" s="4" t="s">
        <v>160</v>
      </c>
      <c r="D27" s="4" t="s">
        <v>185</v>
      </c>
      <c r="E27" s="4" t="s">
        <v>186</v>
      </c>
      <c r="F27" s="42"/>
      <c r="G27" s="41"/>
    </row>
    <row r="28" customFormat="false" ht="12.8" hidden="false" customHeight="false" outlineLevel="0" collapsed="false">
      <c r="A28" s="55"/>
      <c r="B28" s="56"/>
      <c r="C28" s="56"/>
      <c r="D28" s="57"/>
      <c r="E28" s="56"/>
      <c r="F28" s="56"/>
      <c r="G28" s="58"/>
    </row>
    <row r="29" customFormat="false" ht="14.25" hidden="false" customHeight="true" outlineLevel="0" collapsed="false">
      <c r="A29" s="47"/>
      <c r="B29" s="18"/>
      <c r="C29" s="48"/>
      <c r="D29" s="59" t="s">
        <v>187</v>
      </c>
      <c r="E29" s="59"/>
      <c r="F29" s="50" t="e">
        <f aca="false">AVERAGE(F23:F27)</f>
        <v>#DIV/0!</v>
      </c>
      <c r="G29" s="51"/>
    </row>
    <row r="30" customFormat="false" ht="12.8" hidden="false" customHeight="false" outlineLevel="0" collapsed="false">
      <c r="A30" s="43"/>
      <c r="B30" s="44"/>
      <c r="C30" s="44"/>
      <c r="D30" s="60"/>
      <c r="E30" s="44"/>
      <c r="F30" s="44"/>
      <c r="G30" s="46"/>
    </row>
    <row r="31" customFormat="false" ht="25.15" hidden="false" customHeight="false" outlineLevel="0" collapsed="false">
      <c r="A31" s="52" t="s">
        <v>125</v>
      </c>
      <c r="B31" s="53" t="s">
        <v>188</v>
      </c>
      <c r="C31" s="53" t="s">
        <v>148</v>
      </c>
      <c r="D31" s="53" t="s">
        <v>189</v>
      </c>
      <c r="E31" s="53" t="s">
        <v>190</v>
      </c>
      <c r="F31" s="40"/>
      <c r="G31" s="54"/>
    </row>
    <row r="32" customFormat="false" ht="25.15" hidden="false" customHeight="false" outlineLevel="0" collapsed="false">
      <c r="A32" s="38" t="s">
        <v>125</v>
      </c>
      <c r="B32" s="4" t="s">
        <v>188</v>
      </c>
      <c r="C32" s="4" t="s">
        <v>151</v>
      </c>
      <c r="D32" s="4" t="s">
        <v>191</v>
      </c>
      <c r="E32" s="4" t="s">
        <v>192</v>
      </c>
      <c r="F32" s="42"/>
      <c r="G32" s="41"/>
    </row>
    <row r="33" customFormat="false" ht="25.15" hidden="false" customHeight="false" outlineLevel="0" collapsed="false">
      <c r="A33" s="38" t="s">
        <v>125</v>
      </c>
      <c r="B33" s="4" t="s">
        <v>188</v>
      </c>
      <c r="C33" s="4" t="s">
        <v>154</v>
      </c>
      <c r="D33" s="4" t="s">
        <v>193</v>
      </c>
      <c r="E33" s="4" t="s">
        <v>194</v>
      </c>
      <c r="F33" s="42"/>
      <c r="G33" s="41"/>
    </row>
    <row r="34" customFormat="false" ht="25.15" hidden="false" customHeight="false" outlineLevel="0" collapsed="false">
      <c r="A34" s="38" t="s">
        <v>125</v>
      </c>
      <c r="B34" s="4" t="s">
        <v>188</v>
      </c>
      <c r="C34" s="4" t="s">
        <v>157</v>
      </c>
      <c r="D34" s="4" t="s">
        <v>195</v>
      </c>
      <c r="E34" s="4" t="s">
        <v>196</v>
      </c>
      <c r="F34" s="42"/>
      <c r="G34" s="41"/>
    </row>
    <row r="35" customFormat="false" ht="25.15" hidden="false" customHeight="false" outlineLevel="0" collapsed="false">
      <c r="A35" s="38" t="s">
        <v>125</v>
      </c>
      <c r="B35" s="4" t="s">
        <v>188</v>
      </c>
      <c r="C35" s="4" t="s">
        <v>160</v>
      </c>
      <c r="D35" s="4" t="s">
        <v>197</v>
      </c>
      <c r="E35" s="4" t="s">
        <v>198</v>
      </c>
      <c r="F35" s="42"/>
      <c r="G35" s="41"/>
    </row>
    <row r="36" customFormat="false" ht="12.8" hidden="false" customHeight="false" outlineLevel="0" collapsed="false">
      <c r="A36" s="55"/>
      <c r="B36" s="56"/>
      <c r="C36" s="56"/>
      <c r="D36" s="57"/>
      <c r="E36" s="56"/>
      <c r="F36" s="56"/>
      <c r="G36" s="58"/>
    </row>
    <row r="37" customFormat="false" ht="14.25" hidden="false" customHeight="true" outlineLevel="0" collapsed="false">
      <c r="A37" s="47"/>
      <c r="B37" s="18"/>
      <c r="C37" s="48"/>
      <c r="D37" s="59" t="s">
        <v>199</v>
      </c>
      <c r="E37" s="59"/>
      <c r="F37" s="50" t="e">
        <f aca="false">AVERAGE(F31:F35)</f>
        <v>#DIV/0!</v>
      </c>
      <c r="G37" s="51"/>
    </row>
    <row r="38" customFormat="false" ht="12.8" hidden="false" customHeight="false" outlineLevel="0" collapsed="false">
      <c r="A38" s="43"/>
      <c r="B38" s="44"/>
      <c r="C38" s="44"/>
      <c r="D38" s="60"/>
      <c r="E38" s="44"/>
      <c r="F38" s="44"/>
      <c r="G38" s="46"/>
    </row>
    <row r="39" customFormat="false" ht="25.15" hidden="false" customHeight="false" outlineLevel="0" collapsed="false">
      <c r="A39" s="52" t="s">
        <v>125</v>
      </c>
      <c r="B39" s="53" t="s">
        <v>200</v>
      </c>
      <c r="C39" s="53" t="s">
        <v>148</v>
      </c>
      <c r="D39" s="53" t="s">
        <v>201</v>
      </c>
      <c r="E39" s="53" t="s">
        <v>202</v>
      </c>
      <c r="F39" s="40"/>
      <c r="G39" s="54"/>
    </row>
    <row r="40" customFormat="false" ht="25.15" hidden="false" customHeight="false" outlineLevel="0" collapsed="false">
      <c r="A40" s="38" t="s">
        <v>125</v>
      </c>
      <c r="B40" s="4" t="s">
        <v>200</v>
      </c>
      <c r="C40" s="4" t="s">
        <v>151</v>
      </c>
      <c r="D40" s="4" t="s">
        <v>203</v>
      </c>
      <c r="E40" s="4" t="s">
        <v>204</v>
      </c>
      <c r="F40" s="42"/>
      <c r="G40" s="41"/>
    </row>
    <row r="41" customFormat="false" ht="25.15" hidden="false" customHeight="false" outlineLevel="0" collapsed="false">
      <c r="A41" s="38" t="s">
        <v>125</v>
      </c>
      <c r="B41" s="4" t="s">
        <v>200</v>
      </c>
      <c r="C41" s="4" t="s">
        <v>154</v>
      </c>
      <c r="D41" s="4" t="s">
        <v>205</v>
      </c>
      <c r="E41" s="4" t="s">
        <v>206</v>
      </c>
      <c r="F41" s="42"/>
      <c r="G41" s="41"/>
    </row>
    <row r="42" customFormat="false" ht="25.15" hidden="false" customHeight="false" outlineLevel="0" collapsed="false">
      <c r="A42" s="38" t="s">
        <v>125</v>
      </c>
      <c r="B42" s="4" t="s">
        <v>200</v>
      </c>
      <c r="C42" s="4" t="s">
        <v>157</v>
      </c>
      <c r="D42" s="4" t="s">
        <v>207</v>
      </c>
      <c r="E42" s="4" t="s">
        <v>208</v>
      </c>
      <c r="F42" s="42"/>
      <c r="G42" s="41"/>
    </row>
    <row r="43" customFormat="false" ht="25.15" hidden="false" customHeight="false" outlineLevel="0" collapsed="false">
      <c r="A43" s="38" t="s">
        <v>125</v>
      </c>
      <c r="B43" s="4" t="s">
        <v>200</v>
      </c>
      <c r="C43" s="4" t="s">
        <v>160</v>
      </c>
      <c r="D43" s="4" t="s">
        <v>209</v>
      </c>
      <c r="E43" s="4" t="s">
        <v>210</v>
      </c>
      <c r="F43" s="42"/>
      <c r="G43" s="41"/>
    </row>
    <row r="44" customFormat="false" ht="12.8" hidden="false" customHeight="false" outlineLevel="0" collapsed="false">
      <c r="A44" s="55"/>
      <c r="B44" s="56"/>
      <c r="C44" s="56"/>
      <c r="D44" s="57"/>
      <c r="E44" s="56"/>
      <c r="F44" s="56"/>
      <c r="G44" s="58"/>
    </row>
    <row r="45" customFormat="false" ht="14.25" hidden="false" customHeight="true" outlineLevel="0" collapsed="false">
      <c r="A45" s="47"/>
      <c r="B45" s="18"/>
      <c r="C45" s="48"/>
      <c r="D45" s="59" t="s">
        <v>211</v>
      </c>
      <c r="E45" s="59"/>
      <c r="F45" s="50" t="e">
        <f aca="false">AVERAGE(F39:F43)</f>
        <v>#DIV/0!</v>
      </c>
      <c r="G45" s="51"/>
    </row>
    <row r="46" customFormat="false" ht="12.8" hidden="false" customHeight="false" outlineLevel="0" collapsed="false">
      <c r="A46" s="43"/>
      <c r="B46" s="44"/>
      <c r="C46" s="44"/>
      <c r="D46" s="60"/>
      <c r="E46" s="44"/>
      <c r="F46" s="44"/>
      <c r="G46" s="46"/>
    </row>
    <row r="47" customFormat="false" ht="12.8" hidden="false" customHeight="false" outlineLevel="0" collapsed="false">
      <c r="B47" s="7"/>
    </row>
    <row r="48" customFormat="false" ht="12.8" hidden="false" customHeight="false" outlineLevel="0" collapsed="false">
      <c r="C48" s="0"/>
    </row>
    <row r="49" customFormat="false" ht="12.8" hidden="false" customHeight="false" outlineLevel="0" collapsed="false">
      <c r="C49" s="0"/>
    </row>
    <row r="50" customFormat="false" ht="12.8" hidden="false" customHeight="false" outlineLevel="0" collapsed="false">
      <c r="C50" s="0"/>
    </row>
    <row r="51" customFormat="false" ht="12.8" hidden="false" customHeight="false" outlineLevel="0" collapsed="false">
      <c r="C51" s="0"/>
    </row>
    <row r="52" customFormat="false" ht="12.8" hidden="false" customHeight="false" outlineLevel="0" collapsed="false">
      <c r="C52" s="0"/>
    </row>
    <row r="53" customFormat="false" ht="12.8" hidden="false" customHeight="false" outlineLevel="0" collapsed="false">
      <c r="C53" s="0"/>
    </row>
    <row r="54" customFormat="false" ht="12.8" hidden="false" customHeight="false" outlineLevel="0" collapsed="false">
      <c r="C54" s="0"/>
    </row>
    <row r="55" customFormat="false" ht="12.8" hidden="false" customHeight="false" outlineLevel="0" collapsed="false">
      <c r="C55" s="0"/>
    </row>
    <row r="56" customFormat="false" ht="12.8" hidden="false" customHeight="false" outlineLevel="0" collapsed="false">
      <c r="C56" s="0"/>
    </row>
    <row r="57" customFormat="false" ht="12.8" hidden="false" customHeight="false" outlineLevel="0" collapsed="false">
      <c r="C57" s="0"/>
    </row>
    <row r="58" customFormat="false" ht="12.8" hidden="false" customHeight="false" outlineLevel="0" collapsed="false">
      <c r="C58" s="0"/>
    </row>
    <row r="59" customFormat="false" ht="12.8" hidden="false" customHeight="false" outlineLevel="0" collapsed="false">
      <c r="C59" s="0"/>
    </row>
    <row r="60" customFormat="false" ht="12.8" hidden="false" customHeight="false" outlineLevel="0" collapsed="false">
      <c r="C60" s="0"/>
    </row>
    <row r="61" customFormat="false" ht="12.8" hidden="false" customHeight="false" outlineLevel="0" collapsed="false">
      <c r="C61" s="0"/>
    </row>
    <row r="62" customFormat="false" ht="12.8" hidden="false" customHeight="false" outlineLevel="0" collapsed="false">
      <c r="C62" s="0"/>
    </row>
    <row r="63" customFormat="false" ht="12.8" hidden="false" customHeight="false" outlineLevel="0" collapsed="false">
      <c r="C63" s="0"/>
    </row>
    <row r="64" customFormat="false" ht="12.8" hidden="false" customHeight="false" outlineLevel="0" collapsed="false">
      <c r="C64" s="0"/>
    </row>
    <row r="65" customFormat="false" ht="12.8" hidden="false" customHeight="false" outlineLevel="0" collapsed="false">
      <c r="C65" s="0"/>
    </row>
    <row r="66" customFormat="false" ht="12.8" hidden="false" customHeight="false" outlineLevel="0" collapsed="false">
      <c r="C66" s="0"/>
    </row>
    <row r="67" customFormat="false" ht="12.8" hidden="false" customHeight="false" outlineLevel="0" collapsed="false">
      <c r="C67" s="0"/>
    </row>
    <row r="71" customFormat="false" ht="12.8" hidden="false" customHeight="false" outlineLevel="0" collapsed="false">
      <c r="C71" s="0"/>
    </row>
    <row r="72" customFormat="false" ht="12.8" hidden="false" customHeight="false" outlineLevel="0" collapsed="false">
      <c r="C72" s="0"/>
    </row>
    <row r="73" customFormat="false" ht="12.8" hidden="false" customHeight="false" outlineLevel="0" collapsed="false">
      <c r="C73" s="0"/>
    </row>
    <row r="74" customFormat="false" ht="12.8" hidden="false" customHeight="false" outlineLevel="0" collapsed="false">
      <c r="C74" s="0"/>
    </row>
    <row r="75" customFormat="false" ht="12.8" hidden="false" customHeight="false" outlineLevel="0" collapsed="false">
      <c r="C75" s="0"/>
    </row>
    <row r="76" customFormat="false" ht="12.8" hidden="false" customHeight="false" outlineLevel="0" collapsed="false">
      <c r="C76" s="0"/>
    </row>
    <row r="77" customFormat="false" ht="12.8" hidden="false" customHeight="false" outlineLevel="0" collapsed="false">
      <c r="C77" s="0"/>
    </row>
    <row r="78" customFormat="false" ht="12.8" hidden="false" customHeight="false" outlineLevel="0" collapsed="false">
      <c r="C78" s="0"/>
    </row>
    <row r="79" customFormat="false" ht="12.8" hidden="false" customHeight="false" outlineLevel="0" collapsed="false">
      <c r="C79" s="0"/>
    </row>
    <row r="80" customFormat="false" ht="12.8" hidden="false" customHeight="false" outlineLevel="0" collapsed="false">
      <c r="C80" s="0"/>
    </row>
    <row r="81" customFormat="false" ht="12.8" hidden="false" customHeight="false" outlineLevel="0" collapsed="false">
      <c r="C81" s="0"/>
    </row>
    <row r="82" customFormat="false" ht="12.8" hidden="false" customHeight="false" outlineLevel="0" collapsed="false">
      <c r="C82" s="0"/>
    </row>
    <row r="83" customFormat="false" ht="12.8" hidden="false" customHeight="false" outlineLevel="0" collapsed="false">
      <c r="C83" s="0"/>
    </row>
    <row r="87" customFormat="false" ht="12.8" hidden="false" customHeight="false" outlineLevel="0" collapsed="false">
      <c r="C87" s="0"/>
    </row>
    <row r="88" customFormat="false" ht="12.8" hidden="false" customHeight="false" outlineLevel="0" collapsed="false">
      <c r="C88" s="0"/>
    </row>
    <row r="89" customFormat="false" ht="12.8" hidden="false" customHeight="false" outlineLevel="0" collapsed="false">
      <c r="C89" s="0"/>
    </row>
    <row r="90" customFormat="false" ht="12.8" hidden="false" customHeight="false" outlineLevel="0" collapsed="false">
      <c r="C90" s="0"/>
    </row>
    <row r="91" customFormat="false" ht="12.8" hidden="false" customHeight="false" outlineLevel="0" collapsed="false">
      <c r="C91" s="0"/>
    </row>
    <row r="92" customFormat="false" ht="12.8" hidden="false" customHeight="false" outlineLevel="0" collapsed="false">
      <c r="C92" s="0"/>
    </row>
    <row r="93" customFormat="false" ht="12.8" hidden="false" customHeight="false" outlineLevel="0" collapsed="false">
      <c r="C93" s="0"/>
    </row>
    <row r="94" customFormat="false" ht="12.8" hidden="false" customHeight="false" outlineLevel="0" collapsed="false">
      <c r="C94" s="0"/>
    </row>
    <row r="95" customFormat="false" ht="12.8" hidden="false" customHeight="false" outlineLevel="0" collapsed="false">
      <c r="C95" s="0"/>
    </row>
    <row r="96" customFormat="false" ht="12.8" hidden="false" customHeight="false" outlineLevel="0" collapsed="false">
      <c r="C96" s="0"/>
    </row>
    <row r="97" customFormat="false" ht="12.8" hidden="false" customHeight="false" outlineLevel="0" collapsed="false">
      <c r="C97" s="0"/>
    </row>
    <row r="98" customFormat="false" ht="12.8" hidden="false" customHeight="false" outlineLevel="0" collapsed="false">
      <c r="C98" s="0"/>
    </row>
    <row r="99" customFormat="false" ht="12.8" hidden="false" customHeight="false" outlineLevel="0" collapsed="false">
      <c r="C99" s="0"/>
    </row>
    <row r="103" customFormat="false" ht="12.8" hidden="false" customHeight="false" outlineLevel="0" collapsed="false">
      <c r="C103" s="0"/>
    </row>
    <row r="104" customFormat="false" ht="12.8" hidden="false" customHeight="false" outlineLevel="0" collapsed="false">
      <c r="C104" s="0"/>
    </row>
    <row r="105" customFormat="false" ht="12.8" hidden="false" customHeight="false" outlineLevel="0" collapsed="false">
      <c r="C105" s="0"/>
    </row>
    <row r="106" customFormat="false" ht="12.8" hidden="false" customHeight="false" outlineLevel="0" collapsed="false">
      <c r="C106" s="0"/>
    </row>
    <row r="107" customFormat="false" ht="12.8" hidden="false" customHeight="false" outlineLevel="0" collapsed="false">
      <c r="C107" s="0"/>
    </row>
    <row r="108" customFormat="false" ht="12.8" hidden="false" customHeight="false" outlineLevel="0" collapsed="false">
      <c r="C108" s="0"/>
    </row>
    <row r="109" customFormat="false" ht="12.8" hidden="false" customHeight="false" outlineLevel="0" collapsed="false">
      <c r="C109" s="0"/>
    </row>
    <row r="110" customFormat="false" ht="12.8" hidden="false" customHeight="false" outlineLevel="0" collapsed="false">
      <c r="C110" s="0"/>
    </row>
    <row r="111" customFormat="false" ht="12.8" hidden="false" customHeight="false" outlineLevel="0" collapsed="false">
      <c r="C111" s="0"/>
    </row>
    <row r="112" customFormat="false" ht="12.8" hidden="false" customHeight="false" outlineLevel="0" collapsed="false">
      <c r="C112" s="0"/>
    </row>
    <row r="113" customFormat="false" ht="12.8" hidden="false" customHeight="false" outlineLevel="0" collapsed="false">
      <c r="C113" s="0"/>
    </row>
    <row r="114" customFormat="false" ht="12.8" hidden="false" customHeight="false" outlineLevel="0" collapsed="false">
      <c r="C114" s="0"/>
    </row>
    <row r="115" customFormat="false" ht="12.8" hidden="false" customHeight="false" outlineLevel="0" collapsed="false">
      <c r="C115" s="0"/>
    </row>
    <row r="116" customFormat="false" ht="12.8" hidden="false" customHeight="false" outlineLevel="0" collapsed="false">
      <c r="C116" s="0"/>
    </row>
    <row r="117" customFormat="false" ht="12.8" hidden="false" customHeight="false" outlineLevel="0" collapsed="false">
      <c r="C117" s="0"/>
    </row>
    <row r="118" customFormat="false" ht="12.8" hidden="false" customHeight="false" outlineLevel="0" collapsed="false">
      <c r="C118" s="0"/>
    </row>
    <row r="119" customFormat="false" ht="12.8" hidden="false" customHeight="false" outlineLevel="0" collapsed="false">
      <c r="C119" s="0"/>
    </row>
    <row r="120" customFormat="false" ht="12.8" hidden="false" customHeight="false" outlineLevel="0" collapsed="false">
      <c r="C120" s="0"/>
    </row>
    <row r="121" customFormat="false" ht="12.8" hidden="false" customHeight="false" outlineLevel="0" collapsed="false">
      <c r="C121" s="0"/>
    </row>
    <row r="122" customFormat="false" ht="12.8" hidden="false" customHeight="false" outlineLevel="0" collapsed="false">
      <c r="C122" s="0"/>
    </row>
    <row r="124" customFormat="false" ht="12.8" hidden="false" customHeight="false" outlineLevel="0" collapsed="false">
      <c r="C124" s="0"/>
    </row>
    <row r="125" customFormat="false" ht="12.8" hidden="false" customHeight="false" outlineLevel="0" collapsed="false">
      <c r="C125" s="0"/>
    </row>
    <row r="126" customFormat="false" ht="12.8" hidden="false" customHeight="false" outlineLevel="0" collapsed="false">
      <c r="C126" s="0"/>
    </row>
    <row r="127" customFormat="false" ht="12.8" hidden="false" customHeight="false" outlineLevel="0" collapsed="false">
      <c r="C127" s="0"/>
    </row>
    <row r="128" customFormat="false" ht="12.8" hidden="false" customHeight="false" outlineLevel="0" collapsed="false">
      <c r="C128" s="0"/>
    </row>
    <row r="129" customFormat="false" ht="12.8" hidden="false" customHeight="false" outlineLevel="0" collapsed="false">
      <c r="C129" s="0"/>
    </row>
    <row r="130" customFormat="false" ht="12.8" hidden="false" customHeight="false" outlineLevel="0" collapsed="false">
      <c r="C130" s="0"/>
    </row>
    <row r="131" customFormat="false" ht="12.8" hidden="false" customHeight="false" outlineLevel="0" collapsed="false">
      <c r="C131" s="0"/>
    </row>
    <row r="132" customFormat="false" ht="12.8" hidden="false" customHeight="false" outlineLevel="0" collapsed="false">
      <c r="C132" s="0"/>
    </row>
    <row r="133" customFormat="false" ht="12.8" hidden="false" customHeight="false" outlineLevel="0" collapsed="false">
      <c r="C133" s="0"/>
    </row>
    <row r="134" customFormat="false" ht="12.8" hidden="false" customHeight="false" outlineLevel="0" collapsed="false">
      <c r="C134" s="0"/>
    </row>
    <row r="135" customFormat="false" ht="12.8" hidden="false" customHeight="false" outlineLevel="0" collapsed="false">
      <c r="C135" s="0"/>
    </row>
    <row r="136" customFormat="false" ht="12.8" hidden="false" customHeight="false" outlineLevel="0" collapsed="false">
      <c r="C136" s="0"/>
    </row>
    <row r="137" customFormat="false" ht="12.8" hidden="false" customHeight="false" outlineLevel="0" collapsed="false">
      <c r="C137" s="0"/>
    </row>
    <row r="138" customFormat="false" ht="12.8" hidden="false" customHeight="false" outlineLevel="0" collapsed="false">
      <c r="C138" s="0"/>
    </row>
    <row r="139" customFormat="false" ht="12.8" hidden="false" customHeight="false" outlineLevel="0" collapsed="false">
      <c r="C139" s="0"/>
    </row>
    <row r="140" customFormat="false" ht="12.8" hidden="false" customHeight="false" outlineLevel="0" collapsed="false">
      <c r="C140" s="0"/>
    </row>
    <row r="141" customFormat="false" ht="12.8" hidden="false" customHeight="false" outlineLevel="0" collapsed="false">
      <c r="C141" s="0"/>
    </row>
    <row r="142" customFormat="false" ht="12.8" hidden="false" customHeight="false" outlineLevel="0" collapsed="false">
      <c r="C142" s="0"/>
    </row>
    <row r="143" customFormat="false" ht="12.8" hidden="false" customHeight="false" outlineLevel="0" collapsed="false">
      <c r="C143" s="0"/>
    </row>
    <row r="144" customFormat="false" ht="12.8" hidden="false" customHeight="false" outlineLevel="0" collapsed="false">
      <c r="C144" s="0"/>
    </row>
    <row r="145" customFormat="false" ht="12.8" hidden="false" customHeight="false" outlineLevel="0" collapsed="false">
      <c r="C145" s="0"/>
    </row>
    <row r="146" customFormat="false" ht="12.8" hidden="false" customHeight="false" outlineLevel="0" collapsed="false">
      <c r="C146" s="0"/>
    </row>
    <row r="147" customFormat="false" ht="12.8" hidden="false" customHeight="false" outlineLevel="0" collapsed="false">
      <c r="C147" s="0"/>
    </row>
    <row r="148" customFormat="false" ht="12.8" hidden="false" customHeight="false" outlineLevel="0" collapsed="false">
      <c r="C148" s="0"/>
    </row>
    <row r="149" customFormat="false" ht="12.8" hidden="false" customHeight="false" outlineLevel="0" collapsed="false">
      <c r="C149" s="0"/>
    </row>
    <row r="150" customFormat="false" ht="12.8" hidden="false" customHeight="false" outlineLevel="0" collapsed="false">
      <c r="C150" s="0"/>
    </row>
    <row r="152" customFormat="false" ht="12.8" hidden="false" customHeight="false" outlineLevel="0" collapsed="false">
      <c r="C152" s="0"/>
    </row>
    <row r="153" customFormat="false" ht="12.8" hidden="false" customHeight="false" outlineLevel="0" collapsed="false">
      <c r="C153" s="0"/>
    </row>
    <row r="154" customFormat="false" ht="12.8" hidden="false" customHeight="false" outlineLevel="0" collapsed="false">
      <c r="C154" s="0"/>
    </row>
    <row r="155" customFormat="false" ht="12.8" hidden="false" customHeight="false" outlineLevel="0" collapsed="false">
      <c r="C155" s="0"/>
    </row>
    <row r="156" customFormat="false" ht="12.8" hidden="false" customHeight="false" outlineLevel="0" collapsed="false">
      <c r="C156" s="0"/>
    </row>
    <row r="157" customFormat="false" ht="12.8" hidden="false" customHeight="false" outlineLevel="0" collapsed="false">
      <c r="C157" s="0"/>
    </row>
    <row r="158" customFormat="false" ht="12.8" hidden="false" customHeight="false" outlineLevel="0" collapsed="false">
      <c r="C158" s="0"/>
    </row>
    <row r="159" customFormat="false" ht="12.8" hidden="false" customHeight="false" outlineLevel="0" collapsed="false">
      <c r="C159" s="0"/>
    </row>
    <row r="160" customFormat="false" ht="12.8" hidden="false" customHeight="false" outlineLevel="0" collapsed="false">
      <c r="C160" s="0"/>
    </row>
    <row r="161" customFormat="false" ht="12.8" hidden="false" customHeight="false" outlineLevel="0" collapsed="false">
      <c r="C161" s="0"/>
    </row>
    <row r="162" customFormat="false" ht="12.8" hidden="false" customHeight="false" outlineLevel="0" collapsed="false">
      <c r="C162" s="0"/>
    </row>
    <row r="163" customFormat="false" ht="12.8" hidden="false" customHeight="false" outlineLevel="0" collapsed="false">
      <c r="C163" s="0"/>
    </row>
    <row r="164" customFormat="false" ht="12.8" hidden="false" customHeight="false" outlineLevel="0" collapsed="false">
      <c r="C164" s="0"/>
    </row>
    <row r="165" customFormat="false" ht="12.8" hidden="false" customHeight="false" outlineLevel="0" collapsed="false">
      <c r="C165" s="0"/>
    </row>
    <row r="166" customFormat="false" ht="12.8" hidden="false" customHeight="false" outlineLevel="0" collapsed="false">
      <c r="C166" s="0"/>
    </row>
    <row r="167" customFormat="false" ht="12.8" hidden="false" customHeight="false" outlineLevel="0" collapsed="false">
      <c r="C167" s="0"/>
    </row>
    <row r="168" customFormat="false" ht="12.8" hidden="false" customHeight="false" outlineLevel="0" collapsed="false">
      <c r="C168" s="0"/>
    </row>
    <row r="169" customFormat="false" ht="12.8" hidden="false" customHeight="false" outlineLevel="0" collapsed="false">
      <c r="C169" s="0"/>
    </row>
    <row r="170" customFormat="false" ht="12.8" hidden="false" customHeight="false" outlineLevel="0" collapsed="false">
      <c r="C170" s="0"/>
    </row>
    <row r="171" customFormat="false" ht="12.8" hidden="false" customHeight="false" outlineLevel="0" collapsed="false">
      <c r="C171" s="0"/>
    </row>
    <row r="172" customFormat="false" ht="12.8" hidden="false" customHeight="false" outlineLevel="0" collapsed="false">
      <c r="C172" s="0"/>
    </row>
    <row r="173" customFormat="false" ht="12.8" hidden="false" customHeight="false" outlineLevel="0" collapsed="false">
      <c r="C173" s="0"/>
    </row>
    <row r="174" customFormat="false" ht="12.8" hidden="false" customHeight="false" outlineLevel="0" collapsed="false">
      <c r="C174" s="0"/>
    </row>
    <row r="175" customFormat="false" ht="12.8" hidden="false" customHeight="false" outlineLevel="0" collapsed="false">
      <c r="C175" s="0"/>
    </row>
    <row r="176" customFormat="false" ht="12.8" hidden="false" customHeight="false" outlineLevel="0" collapsed="false">
      <c r="C176" s="0"/>
    </row>
    <row r="177" customFormat="false" ht="12.8" hidden="false" customHeight="false" outlineLevel="0" collapsed="false">
      <c r="C177" s="0"/>
    </row>
    <row r="178" customFormat="false" ht="12.8" hidden="false" customHeight="false" outlineLevel="0" collapsed="false">
      <c r="C178" s="0"/>
    </row>
    <row r="179" customFormat="false" ht="12.8" hidden="false" customHeight="false" outlineLevel="0" collapsed="false">
      <c r="C179" s="0"/>
    </row>
    <row r="181" customFormat="false" ht="12.8" hidden="false" customHeight="false" outlineLevel="0" collapsed="false">
      <c r="C181" s="0"/>
    </row>
    <row r="182" customFormat="false" ht="12.8" hidden="false" customHeight="false" outlineLevel="0" collapsed="false">
      <c r="C182" s="0"/>
    </row>
    <row r="183" customFormat="false" ht="12.8" hidden="false" customHeight="false" outlineLevel="0" collapsed="false">
      <c r="C183" s="0"/>
    </row>
    <row r="184" customFormat="false" ht="12.8" hidden="false" customHeight="false" outlineLevel="0" collapsed="false">
      <c r="C184" s="0"/>
    </row>
    <row r="185" customFormat="false" ht="12.8" hidden="false" customHeight="false" outlineLevel="0" collapsed="false">
      <c r="C185" s="0"/>
    </row>
    <row r="186" customFormat="false" ht="12.8" hidden="false" customHeight="false" outlineLevel="0" collapsed="false">
      <c r="C186" s="0"/>
    </row>
    <row r="187" customFormat="false" ht="12.8" hidden="false" customHeight="false" outlineLevel="0" collapsed="false">
      <c r="C187" s="0"/>
    </row>
    <row r="188" customFormat="false" ht="12.8" hidden="false" customHeight="false" outlineLevel="0" collapsed="false">
      <c r="C188" s="0"/>
    </row>
    <row r="189" customFormat="false" ht="12.8" hidden="false" customHeight="false" outlineLevel="0" collapsed="false">
      <c r="C189" s="0"/>
    </row>
    <row r="190" customFormat="false" ht="12.8" hidden="false" customHeight="false" outlineLevel="0" collapsed="false">
      <c r="C190" s="0"/>
    </row>
    <row r="191" customFormat="false" ht="12.8" hidden="false" customHeight="false" outlineLevel="0" collapsed="false">
      <c r="C191" s="0"/>
    </row>
    <row r="192" customFormat="false" ht="12.8" hidden="false" customHeight="false" outlineLevel="0" collapsed="false">
      <c r="C192" s="0"/>
    </row>
    <row r="193" customFormat="false" ht="12.8" hidden="false" customHeight="false" outlineLevel="0" collapsed="false">
      <c r="C193" s="0"/>
    </row>
    <row r="194" customFormat="false" ht="12.8" hidden="false" customHeight="false" outlineLevel="0" collapsed="false">
      <c r="C194" s="0"/>
    </row>
    <row r="195" customFormat="false" ht="12.8" hidden="false" customHeight="false" outlineLevel="0" collapsed="false">
      <c r="C195" s="0"/>
    </row>
    <row r="196" customFormat="false" ht="12.8" hidden="false" customHeight="false" outlineLevel="0" collapsed="false">
      <c r="C196" s="0"/>
    </row>
    <row r="197" customFormat="false" ht="12.8" hidden="false" customHeight="false" outlineLevel="0" collapsed="false">
      <c r="C197" s="0"/>
    </row>
    <row r="198" customFormat="false" ht="12.8" hidden="false" customHeight="false" outlineLevel="0" collapsed="false">
      <c r="C198" s="0"/>
    </row>
    <row r="199" customFormat="false" ht="12.8" hidden="false" customHeight="false" outlineLevel="0" collapsed="false">
      <c r="C199" s="0"/>
    </row>
    <row r="200" customFormat="false" ht="12.8" hidden="false" customHeight="false" outlineLevel="0" collapsed="false">
      <c r="C200" s="0"/>
    </row>
    <row r="201" customFormat="false" ht="12.8" hidden="false" customHeight="false" outlineLevel="0" collapsed="false">
      <c r="C201" s="0"/>
    </row>
    <row r="202" customFormat="false" ht="12.8" hidden="false" customHeight="false" outlineLevel="0" collapsed="false">
      <c r="C202" s="0"/>
    </row>
    <row r="203" customFormat="false" ht="12.8" hidden="false" customHeight="false" outlineLevel="0" collapsed="false">
      <c r="C203" s="0"/>
    </row>
    <row r="204" customFormat="false" ht="12.8" hidden="false" customHeight="false" outlineLevel="0" collapsed="false">
      <c r="C204" s="0"/>
    </row>
    <row r="205" customFormat="false" ht="12.8" hidden="false" customHeight="false" outlineLevel="0" collapsed="false">
      <c r="C205" s="0"/>
    </row>
    <row r="206" customFormat="false" ht="12.8" hidden="false" customHeight="false" outlineLevel="0" collapsed="false">
      <c r="C206" s="0"/>
    </row>
    <row r="207" customFormat="false" ht="12.8" hidden="false" customHeight="false" outlineLevel="0" collapsed="false">
      <c r="C207" s="0"/>
    </row>
    <row r="209" customFormat="false" ht="12.8" hidden="false" customHeight="false" outlineLevel="0" collapsed="false">
      <c r="C209" s="0"/>
    </row>
    <row r="210" customFormat="false" ht="12.8" hidden="false" customHeight="false" outlineLevel="0" collapsed="false">
      <c r="C210" s="0"/>
    </row>
    <row r="211" customFormat="false" ht="12.8" hidden="false" customHeight="false" outlineLevel="0" collapsed="false">
      <c r="C211" s="0"/>
    </row>
    <row r="212" customFormat="false" ht="12.8" hidden="false" customHeight="false" outlineLevel="0" collapsed="false">
      <c r="C212" s="0"/>
    </row>
    <row r="213" customFormat="false" ht="12.8" hidden="false" customHeight="false" outlineLevel="0" collapsed="false">
      <c r="C213" s="0"/>
    </row>
    <row r="214" customFormat="false" ht="12.8" hidden="false" customHeight="false" outlineLevel="0" collapsed="false">
      <c r="C214" s="0"/>
    </row>
    <row r="217" customFormat="false" ht="12.8" hidden="false" customHeight="false" outlineLevel="0" collapsed="false">
      <c r="C217" s="0"/>
    </row>
    <row r="218" customFormat="false" ht="12.8" hidden="false" customHeight="false" outlineLevel="0" collapsed="false">
      <c r="C218" s="0"/>
    </row>
    <row r="219" customFormat="false" ht="12.8" hidden="false" customHeight="false" outlineLevel="0" collapsed="false">
      <c r="C219" s="0"/>
    </row>
    <row r="220" customFormat="false" ht="12.8" hidden="false" customHeight="false" outlineLevel="0" collapsed="false">
      <c r="C220" s="0"/>
    </row>
    <row r="221" customFormat="false" ht="12.8" hidden="false" customHeight="false" outlineLevel="0" collapsed="false">
      <c r="C221" s="0"/>
    </row>
    <row r="222" customFormat="false" ht="12.8" hidden="false" customHeight="false" outlineLevel="0" collapsed="false">
      <c r="C222" s="0"/>
    </row>
    <row r="223" customFormat="false" ht="12.8" hidden="false" customHeight="false" outlineLevel="0" collapsed="false">
      <c r="C223" s="0"/>
    </row>
    <row r="224" customFormat="false" ht="12.8" hidden="false" customHeight="false" outlineLevel="0" collapsed="false">
      <c r="C224" s="0"/>
    </row>
    <row r="225" customFormat="false" ht="12.8" hidden="false" customHeight="false" outlineLevel="0" collapsed="false">
      <c r="C225" s="0"/>
    </row>
    <row r="226" customFormat="false" ht="12.8" hidden="false" customHeight="false" outlineLevel="0" collapsed="false">
      <c r="C226" s="0"/>
    </row>
    <row r="227" customFormat="false" ht="12.8" hidden="false" customHeight="false" outlineLevel="0" collapsed="false">
      <c r="C227" s="0"/>
    </row>
    <row r="228" customFormat="false" ht="12.8" hidden="false" customHeight="false" outlineLevel="0" collapsed="false">
      <c r="C228" s="0"/>
    </row>
    <row r="229" customFormat="false" ht="12.8" hidden="false" customHeight="false" outlineLevel="0" collapsed="false">
      <c r="C229" s="0"/>
    </row>
    <row r="230" customFormat="false" ht="12.8" hidden="false" customHeight="false" outlineLevel="0" collapsed="false">
      <c r="C230" s="0"/>
    </row>
    <row r="231" customFormat="false" ht="12.8" hidden="false" customHeight="false" outlineLevel="0" collapsed="false">
      <c r="C231" s="0"/>
    </row>
    <row r="232" customFormat="false" ht="12.8" hidden="false" customHeight="false" outlineLevel="0" collapsed="false">
      <c r="C232" s="0"/>
    </row>
    <row r="233" customFormat="false" ht="12.8" hidden="false" customHeight="false" outlineLevel="0" collapsed="false">
      <c r="C233" s="0"/>
    </row>
    <row r="234" customFormat="false" ht="12.8" hidden="false" customHeight="false" outlineLevel="0" collapsed="false">
      <c r="C234" s="0"/>
    </row>
    <row r="235" customFormat="false" ht="12.8" hidden="false" customHeight="false" outlineLevel="0" collapsed="false">
      <c r="C235" s="0"/>
    </row>
    <row r="236" customFormat="false" ht="12.8" hidden="false" customHeight="false" outlineLevel="0" collapsed="false">
      <c r="C236" s="0"/>
    </row>
    <row r="237" customFormat="false" ht="12.8" hidden="false" customHeight="false" outlineLevel="0" collapsed="false">
      <c r="C237" s="0"/>
    </row>
    <row r="238" customFormat="false" ht="12.8" hidden="false" customHeight="false" outlineLevel="0" collapsed="false">
      <c r="C238" s="0"/>
    </row>
    <row r="239" customFormat="false" ht="12.8" hidden="false" customHeight="false" outlineLevel="0" collapsed="false">
      <c r="C239" s="0"/>
    </row>
    <row r="240" customFormat="false" ht="12.8" hidden="false" customHeight="false" outlineLevel="0" collapsed="false">
      <c r="C240" s="0"/>
    </row>
    <row r="241" customFormat="false" ht="12.8" hidden="false" customHeight="false" outlineLevel="0" collapsed="false">
      <c r="C241" s="0"/>
    </row>
    <row r="242" customFormat="false" ht="12.8" hidden="false" customHeight="false" outlineLevel="0" collapsed="false">
      <c r="C242" s="0"/>
    </row>
    <row r="243" customFormat="false" ht="12.8" hidden="false" customHeight="false" outlineLevel="0" collapsed="false">
      <c r="C243" s="0"/>
    </row>
    <row r="244" customFormat="false" ht="12.8" hidden="false" customHeight="false" outlineLevel="0" collapsed="false">
      <c r="C244" s="0"/>
    </row>
  </sheetData>
  <mergeCells count="6">
    <mergeCell ref="A1:G4"/>
    <mergeCell ref="D13:E13"/>
    <mergeCell ref="D21:E21"/>
    <mergeCell ref="D29:E29"/>
    <mergeCell ref="D37:E37"/>
    <mergeCell ref="D45:E45"/>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B15" colorId="64" zoomScale="67" zoomScaleNormal="67" zoomScalePageLayoutView="100" workbookViewId="0">
      <selection pane="topLeft" activeCell="F28" activeCellId="0" sqref="F28"/>
    </sheetView>
  </sheetViews>
  <sheetFormatPr defaultColWidth="11.53515625" defaultRowHeight="12.8" zeroHeight="false" outlineLevelRow="0" outlineLevelCol="0"/>
  <cols>
    <col collapsed="false" customWidth="true" hidden="false" outlineLevel="0" max="2" min="2" style="0" width="17.33"/>
    <col collapsed="false" customWidth="true" hidden="false" outlineLevel="0" max="4" min="4" style="0" width="25.85"/>
    <col collapsed="false" customWidth="true" hidden="false" outlineLevel="0" max="5" min="5" style="0" width="15.84"/>
    <col collapsed="false" customWidth="true" hidden="false" outlineLevel="0" max="7" min="7" style="0" width="24.21"/>
  </cols>
  <sheetData>
    <row r="1" customFormat="false" ht="12.8" hidden="false" customHeight="false" outlineLevel="0" collapsed="false">
      <c r="A1" s="34" t="s">
        <v>126</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47.75" hidden="false" customHeight="true" outlineLevel="0" collapsed="false">
      <c r="A6" s="38" t="s">
        <v>126</v>
      </c>
      <c r="B6" s="4" t="s">
        <v>212</v>
      </c>
      <c r="C6" s="4" t="s">
        <v>148</v>
      </c>
      <c r="D6" s="4" t="s">
        <v>213</v>
      </c>
      <c r="E6" s="4" t="s">
        <v>214</v>
      </c>
      <c r="F6" s="40"/>
      <c r="G6" s="41"/>
    </row>
    <row r="7" customFormat="false" ht="46.95" hidden="false" customHeight="true" outlineLevel="0" collapsed="false">
      <c r="A7" s="38" t="s">
        <v>126</v>
      </c>
      <c r="B7" s="4" t="s">
        <v>212</v>
      </c>
      <c r="C7" s="4" t="s">
        <v>151</v>
      </c>
      <c r="D7" s="4" t="s">
        <v>215</v>
      </c>
      <c r="E7" s="4" t="s">
        <v>216</v>
      </c>
      <c r="F7" s="42"/>
      <c r="G7" s="41"/>
    </row>
    <row r="8" customFormat="false" ht="42.75" hidden="false" customHeight="true" outlineLevel="0" collapsed="false">
      <c r="A8" s="38" t="s">
        <v>126</v>
      </c>
      <c r="B8" s="4" t="s">
        <v>212</v>
      </c>
      <c r="C8" s="4" t="s">
        <v>154</v>
      </c>
      <c r="D8" s="4" t="s">
        <v>217</v>
      </c>
      <c r="E8" s="4" t="s">
        <v>218</v>
      </c>
      <c r="F8" s="42"/>
      <c r="G8" s="41"/>
    </row>
    <row r="9" customFormat="false" ht="37.7" hidden="false" customHeight="true" outlineLevel="0" collapsed="false">
      <c r="A9" s="38" t="s">
        <v>126</v>
      </c>
      <c r="B9" s="4" t="s">
        <v>212</v>
      </c>
      <c r="C9" s="4" t="s">
        <v>157</v>
      </c>
      <c r="D9" s="4" t="s">
        <v>219</v>
      </c>
      <c r="E9" s="4" t="s">
        <v>220</v>
      </c>
      <c r="F9" s="42"/>
      <c r="G9" s="41"/>
    </row>
    <row r="10" customFormat="false" ht="39.4" hidden="false" customHeight="true" outlineLevel="0" collapsed="false">
      <c r="A10" s="38" t="s">
        <v>126</v>
      </c>
      <c r="B10" s="4" t="s">
        <v>212</v>
      </c>
      <c r="C10" s="4" t="s">
        <v>160</v>
      </c>
      <c r="D10" s="4" t="s">
        <v>221</v>
      </c>
      <c r="E10" s="4" t="s">
        <v>222</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8"/>
      <c r="C12" s="48"/>
      <c r="D12" s="59" t="s">
        <v>223</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36.85" hidden="false" customHeight="false" outlineLevel="0" collapsed="false">
      <c r="A14" s="52" t="s">
        <v>126</v>
      </c>
      <c r="B14" s="53" t="s">
        <v>224</v>
      </c>
      <c r="C14" s="53" t="s">
        <v>148</v>
      </c>
      <c r="D14" s="53" t="s">
        <v>225</v>
      </c>
      <c r="E14" s="53" t="s">
        <v>226</v>
      </c>
      <c r="F14" s="40"/>
      <c r="G14" s="54"/>
    </row>
    <row r="15" customFormat="false" ht="25.15" hidden="false" customHeight="false" outlineLevel="0" collapsed="false">
      <c r="A15" s="38" t="s">
        <v>126</v>
      </c>
      <c r="B15" s="4" t="s">
        <v>224</v>
      </c>
      <c r="C15" s="4" t="s">
        <v>151</v>
      </c>
      <c r="D15" s="4" t="s">
        <v>227</v>
      </c>
      <c r="E15" s="4" t="s">
        <v>228</v>
      </c>
      <c r="F15" s="42"/>
      <c r="G15" s="41"/>
    </row>
    <row r="16" customFormat="false" ht="36.85" hidden="false" customHeight="false" outlineLevel="0" collapsed="false">
      <c r="A16" s="38" t="s">
        <v>126</v>
      </c>
      <c r="B16" s="4" t="s">
        <v>224</v>
      </c>
      <c r="C16" s="4" t="s">
        <v>154</v>
      </c>
      <c r="D16" s="4" t="s">
        <v>229</v>
      </c>
      <c r="E16" s="4" t="s">
        <v>230</v>
      </c>
      <c r="F16" s="42"/>
      <c r="G16" s="41"/>
    </row>
    <row r="17" customFormat="false" ht="25.15" hidden="false" customHeight="false" outlineLevel="0" collapsed="false">
      <c r="A17" s="38" t="s">
        <v>126</v>
      </c>
      <c r="B17" s="4" t="s">
        <v>224</v>
      </c>
      <c r="C17" s="4" t="s">
        <v>157</v>
      </c>
      <c r="D17" s="4" t="s">
        <v>231</v>
      </c>
      <c r="E17" s="4" t="s">
        <v>232</v>
      </c>
      <c r="F17" s="42"/>
      <c r="G17" s="41"/>
    </row>
    <row r="18" customFormat="false" ht="25.15" hidden="false" customHeight="false" outlineLevel="0" collapsed="false">
      <c r="A18" s="38" t="s">
        <v>126</v>
      </c>
      <c r="B18" s="4" t="s">
        <v>224</v>
      </c>
      <c r="C18" s="4" t="s">
        <v>160</v>
      </c>
      <c r="D18" s="4" t="s">
        <v>233</v>
      </c>
      <c r="E18" s="4" t="s">
        <v>234</v>
      </c>
      <c r="F18" s="42"/>
      <c r="G18" s="41"/>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8"/>
      <c r="C20" s="48"/>
      <c r="D20" s="59" t="s">
        <v>235</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36.85" hidden="false" customHeight="false" outlineLevel="0" collapsed="false">
      <c r="A22" s="4" t="s">
        <v>126</v>
      </c>
      <c r="B22" s="52" t="s">
        <v>236</v>
      </c>
      <c r="C22" s="53" t="s">
        <v>148</v>
      </c>
      <c r="D22" s="53" t="s">
        <v>237</v>
      </c>
      <c r="E22" s="53" t="s">
        <v>238</v>
      </c>
      <c r="F22" s="40"/>
      <c r="G22" s="54"/>
    </row>
    <row r="23" customFormat="false" ht="25.15" hidden="false" customHeight="false" outlineLevel="0" collapsed="false">
      <c r="A23" s="4" t="s">
        <v>126</v>
      </c>
      <c r="B23" s="38" t="s">
        <v>236</v>
      </c>
      <c r="C23" s="4" t="s">
        <v>151</v>
      </c>
      <c r="D23" s="4" t="s">
        <v>239</v>
      </c>
      <c r="E23" s="4" t="s">
        <v>240</v>
      </c>
      <c r="F23" s="42"/>
      <c r="G23" s="41"/>
    </row>
    <row r="24" customFormat="false" ht="25.15" hidden="false" customHeight="false" outlineLevel="0" collapsed="false">
      <c r="A24" s="4" t="s">
        <v>126</v>
      </c>
      <c r="B24" s="38" t="s">
        <v>236</v>
      </c>
      <c r="C24" s="4" t="s">
        <v>154</v>
      </c>
      <c r="D24" s="4" t="s">
        <v>241</v>
      </c>
      <c r="E24" s="4" t="s">
        <v>242</v>
      </c>
      <c r="F24" s="42"/>
      <c r="G24" s="41"/>
    </row>
    <row r="25" customFormat="false" ht="25.15" hidden="false" customHeight="false" outlineLevel="0" collapsed="false">
      <c r="A25" s="4" t="s">
        <v>126</v>
      </c>
      <c r="B25" s="38" t="s">
        <v>236</v>
      </c>
      <c r="C25" s="4" t="s">
        <v>157</v>
      </c>
      <c r="D25" s="4" t="s">
        <v>243</v>
      </c>
      <c r="E25" s="4" t="s">
        <v>244</v>
      </c>
      <c r="F25" s="42"/>
      <c r="G25" s="41"/>
    </row>
    <row r="26" customFormat="false" ht="25.15" hidden="false" customHeight="false" outlineLevel="0" collapsed="false">
      <c r="A26" s="4" t="s">
        <v>126</v>
      </c>
      <c r="B26" s="38" t="s">
        <v>236</v>
      </c>
      <c r="C26" s="4" t="s">
        <v>160</v>
      </c>
      <c r="D26" s="4" t="s">
        <v>245</v>
      </c>
      <c r="E26" s="4" t="s">
        <v>246</v>
      </c>
      <c r="F26" s="42"/>
      <c r="G26" s="41"/>
    </row>
    <row r="27" customFormat="false" ht="12.8" hidden="false" customHeight="false" outlineLevel="0" collapsed="false">
      <c r="A27" s="43"/>
      <c r="B27" s="55"/>
      <c r="C27" s="56"/>
      <c r="D27" s="57"/>
      <c r="E27" s="56"/>
      <c r="F27" s="56"/>
      <c r="G27" s="58"/>
    </row>
    <row r="28" customFormat="false" ht="16.75" hidden="false" customHeight="true" outlineLevel="0" collapsed="false">
      <c r="A28" s="47"/>
      <c r="B28" s="47"/>
      <c r="C28" s="48"/>
      <c r="D28" s="59" t="s">
        <v>247</v>
      </c>
      <c r="E28" s="59"/>
      <c r="F28" s="50" t="e">
        <f aca="false">AVERAGE(F22:F26)</f>
        <v>#DIV/0!</v>
      </c>
      <c r="G28" s="51"/>
    </row>
    <row r="29" s="33" customFormat="true" ht="12.8" hidden="false" customHeight="false" outlineLevel="0" collapsed="false">
      <c r="A29" s="43"/>
      <c r="B29" s="43"/>
      <c r="C29" s="44"/>
      <c r="D29" s="60"/>
      <c r="E29" s="44"/>
      <c r="F29" s="44"/>
      <c r="G29" s="46"/>
    </row>
  </sheetData>
  <mergeCells count="4">
    <mergeCell ref="A1:G4"/>
    <mergeCell ref="D12:E12"/>
    <mergeCell ref="D20:E20"/>
    <mergeCell ref="D28:E2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20" activeCellId="0" sqref="F20"/>
    </sheetView>
  </sheetViews>
  <sheetFormatPr defaultColWidth="11.53515625" defaultRowHeight="12.8" zeroHeight="false" outlineLevelRow="0" outlineLevelCol="0"/>
  <cols>
    <col collapsed="false" customWidth="true" hidden="false" outlineLevel="0" max="2" min="2" style="0" width="17.49"/>
    <col collapsed="false" customWidth="true" hidden="false" outlineLevel="0" max="4" min="4" style="0" width="21.07"/>
    <col collapsed="false" customWidth="true" hidden="false" outlineLevel="0" max="5" min="5" style="0" width="14.79"/>
    <col collapsed="false" customWidth="true" hidden="false" outlineLevel="0" max="7" min="7" style="0" width="25.7"/>
  </cols>
  <sheetData>
    <row r="1" customFormat="false" ht="12.8" hidden="false" customHeight="false" outlineLevel="0" collapsed="false">
      <c r="A1" s="34" t="s">
        <v>127</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6" t="s">
        <v>105</v>
      </c>
      <c r="B5" s="36" t="s">
        <v>106</v>
      </c>
      <c r="C5" s="36" t="s">
        <v>143</v>
      </c>
      <c r="D5" s="36" t="s">
        <v>144</v>
      </c>
      <c r="E5" s="36" t="s">
        <v>109</v>
      </c>
      <c r="F5" s="37" t="s">
        <v>145</v>
      </c>
      <c r="G5" s="36" t="s">
        <v>146</v>
      </c>
    </row>
    <row r="6" customFormat="false" ht="51.95" hidden="false" customHeight="true" outlineLevel="0" collapsed="false">
      <c r="A6" s="52" t="s">
        <v>127</v>
      </c>
      <c r="B6" s="53" t="s">
        <v>248</v>
      </c>
      <c r="C6" s="53" t="s">
        <v>148</v>
      </c>
      <c r="D6" s="53" t="s">
        <v>249</v>
      </c>
      <c r="E6" s="53" t="s">
        <v>250</v>
      </c>
      <c r="F6" s="40"/>
      <c r="G6" s="54"/>
    </row>
    <row r="7" customFormat="false" ht="44.4" hidden="false" customHeight="true" outlineLevel="0" collapsed="false">
      <c r="A7" s="38" t="s">
        <v>127</v>
      </c>
      <c r="B7" s="4" t="s">
        <v>248</v>
      </c>
      <c r="C7" s="4" t="s">
        <v>151</v>
      </c>
      <c r="D7" s="4" t="s">
        <v>251</v>
      </c>
      <c r="E7" s="4" t="s">
        <v>252</v>
      </c>
      <c r="F7" s="42"/>
      <c r="G7" s="41"/>
    </row>
    <row r="8" customFormat="false" ht="41.05" hidden="false" customHeight="true" outlineLevel="0" collapsed="false">
      <c r="A8" s="38" t="s">
        <v>127</v>
      </c>
      <c r="B8" s="4" t="s">
        <v>248</v>
      </c>
      <c r="C8" s="4" t="s">
        <v>154</v>
      </c>
      <c r="D8" s="4" t="s">
        <v>253</v>
      </c>
      <c r="E8" s="4" t="s">
        <v>254</v>
      </c>
      <c r="F8" s="42"/>
      <c r="G8" s="41"/>
    </row>
    <row r="9" customFormat="false" ht="30.15" hidden="false" customHeight="true" outlineLevel="0" collapsed="false">
      <c r="A9" s="38" t="s">
        <v>127</v>
      </c>
      <c r="B9" s="4" t="s">
        <v>248</v>
      </c>
      <c r="C9" s="4" t="s">
        <v>157</v>
      </c>
      <c r="D9" s="4" t="s">
        <v>255</v>
      </c>
      <c r="E9" s="4" t="s">
        <v>256</v>
      </c>
      <c r="F9" s="42"/>
      <c r="G9" s="41"/>
    </row>
    <row r="10" customFormat="false" ht="25.15" hidden="false" customHeight="false" outlineLevel="0" collapsed="false">
      <c r="A10" s="38" t="s">
        <v>127</v>
      </c>
      <c r="B10" s="4" t="s">
        <v>248</v>
      </c>
      <c r="C10" s="4" t="s">
        <v>160</v>
      </c>
      <c r="D10" s="4" t="s">
        <v>257</v>
      </c>
      <c r="E10" s="4" t="s">
        <v>258</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259</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48.6" hidden="false" customHeight="false" outlineLevel="0" collapsed="false">
      <c r="A14" s="52" t="s">
        <v>127</v>
      </c>
      <c r="B14" s="53" t="s">
        <v>260</v>
      </c>
      <c r="C14" s="53" t="s">
        <v>148</v>
      </c>
      <c r="D14" s="53" t="s">
        <v>261</v>
      </c>
      <c r="E14" s="53" t="s">
        <v>262</v>
      </c>
      <c r="F14" s="40"/>
      <c r="G14" s="54"/>
    </row>
    <row r="15" customFormat="false" ht="36.85" hidden="false" customHeight="false" outlineLevel="0" collapsed="false">
      <c r="A15" s="38" t="s">
        <v>127</v>
      </c>
      <c r="B15" s="4" t="s">
        <v>260</v>
      </c>
      <c r="C15" s="4" t="s">
        <v>151</v>
      </c>
      <c r="D15" s="4" t="s">
        <v>263</v>
      </c>
      <c r="E15" s="4" t="s">
        <v>264</v>
      </c>
      <c r="F15" s="42"/>
      <c r="G15" s="41"/>
    </row>
    <row r="16" customFormat="false" ht="25.15" hidden="false" customHeight="false" outlineLevel="0" collapsed="false">
      <c r="A16" s="38" t="s">
        <v>127</v>
      </c>
      <c r="B16" s="4" t="s">
        <v>260</v>
      </c>
      <c r="C16" s="4" t="s">
        <v>154</v>
      </c>
      <c r="D16" s="4" t="s">
        <v>265</v>
      </c>
      <c r="E16" s="4" t="s">
        <v>266</v>
      </c>
      <c r="F16" s="42"/>
      <c r="G16" s="41"/>
    </row>
    <row r="17" customFormat="false" ht="25.15" hidden="false" customHeight="false" outlineLevel="0" collapsed="false">
      <c r="A17" s="38" t="s">
        <v>127</v>
      </c>
      <c r="B17" s="4" t="s">
        <v>260</v>
      </c>
      <c r="C17" s="4" t="s">
        <v>157</v>
      </c>
      <c r="D17" s="4" t="s">
        <v>267</v>
      </c>
      <c r="E17" s="4" t="s">
        <v>268</v>
      </c>
      <c r="F17" s="42"/>
      <c r="G17" s="41"/>
    </row>
    <row r="18" customFormat="false" ht="25.15" hidden="false" customHeight="false" outlineLevel="0" collapsed="false">
      <c r="A18" s="38" t="s">
        <v>127</v>
      </c>
      <c r="B18" s="4" t="s">
        <v>260</v>
      </c>
      <c r="C18" s="4" t="s">
        <v>160</v>
      </c>
      <c r="D18" s="4" t="s">
        <v>269</v>
      </c>
      <c r="E18" s="4" t="s">
        <v>270</v>
      </c>
      <c r="F18" s="42"/>
      <c r="G18" s="41"/>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271</v>
      </c>
      <c r="E20" s="59"/>
      <c r="F20" s="50" t="e">
        <f aca="false">AVERAGE(F14:F18)</f>
        <v>#DIV/0!</v>
      </c>
      <c r="G20" s="51"/>
    </row>
    <row r="21" s="33" customFormat="true" ht="12.8" hidden="false" customHeight="false" outlineLevel="0" collapsed="false">
      <c r="A21" s="43"/>
      <c r="B21" s="44"/>
      <c r="C21" s="44"/>
      <c r="D21" s="60"/>
      <c r="E21" s="44"/>
      <c r="F21" s="44"/>
      <c r="G21" s="46"/>
    </row>
  </sheetData>
  <mergeCells count="3">
    <mergeCell ref="A1:G4"/>
    <mergeCell ref="D12:E12"/>
    <mergeCell ref="D20:E2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6" colorId="64" zoomScale="67" zoomScaleNormal="67" zoomScalePageLayoutView="100" workbookViewId="0">
      <selection pane="topLeft" activeCell="F28" activeCellId="0" sqref="F28"/>
    </sheetView>
  </sheetViews>
  <sheetFormatPr defaultColWidth="11.53515625" defaultRowHeight="12.8" zeroHeight="false" outlineLevelRow="0" outlineLevelCol="0"/>
  <cols>
    <col collapsed="false" customWidth="true" hidden="false" outlineLevel="0" max="2" min="2" style="0" width="16.44"/>
    <col collapsed="false" customWidth="true" hidden="false" outlineLevel="0" max="4" min="4" style="0" width="17.19"/>
    <col collapsed="false" customWidth="true" hidden="false" outlineLevel="0" max="5" min="5" style="0" width="20.62"/>
    <col collapsed="false" customWidth="true" hidden="false" outlineLevel="0" max="7" min="7" style="0" width="26.6"/>
  </cols>
  <sheetData>
    <row r="1" customFormat="false" ht="12.8" hidden="false" customHeight="false" outlineLevel="0" collapsed="false">
      <c r="A1" s="34" t="s">
        <v>128</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2.8" hidden="false" customHeight="true" outlineLevel="0" collapsed="false">
      <c r="A6" s="38" t="s">
        <v>128</v>
      </c>
      <c r="B6" s="4" t="s">
        <v>272</v>
      </c>
      <c r="C6" s="4" t="s">
        <v>148</v>
      </c>
      <c r="D6" s="4" t="s">
        <v>273</v>
      </c>
      <c r="E6" s="4" t="s">
        <v>274</v>
      </c>
      <c r="F6" s="40"/>
      <c r="G6" s="41"/>
    </row>
    <row r="7" customFormat="false" ht="42.75" hidden="false" customHeight="true" outlineLevel="0" collapsed="false">
      <c r="A7" s="38" t="s">
        <v>128</v>
      </c>
      <c r="B7" s="4" t="s">
        <v>272</v>
      </c>
      <c r="C7" s="4" t="s">
        <v>151</v>
      </c>
      <c r="D7" s="4" t="s">
        <v>275</v>
      </c>
      <c r="E7" s="4" t="s">
        <v>276</v>
      </c>
      <c r="F7" s="42"/>
      <c r="G7" s="41"/>
    </row>
    <row r="8" customFormat="false" ht="36.05" hidden="false" customHeight="true" outlineLevel="0" collapsed="false">
      <c r="A8" s="38" t="s">
        <v>128</v>
      </c>
      <c r="B8" s="4" t="s">
        <v>272</v>
      </c>
      <c r="C8" s="4" t="s">
        <v>154</v>
      </c>
      <c r="D8" s="4" t="s">
        <v>277</v>
      </c>
      <c r="E8" s="4" t="s">
        <v>278</v>
      </c>
      <c r="F8" s="42"/>
      <c r="G8" s="41"/>
    </row>
    <row r="9" customFormat="false" ht="31.85" hidden="false" customHeight="true" outlineLevel="0" collapsed="false">
      <c r="A9" s="38" t="s">
        <v>128</v>
      </c>
      <c r="B9" s="4" t="s">
        <v>272</v>
      </c>
      <c r="C9" s="4" t="s">
        <v>157</v>
      </c>
      <c r="D9" s="4" t="s">
        <v>279</v>
      </c>
      <c r="E9" s="4" t="s">
        <v>280</v>
      </c>
      <c r="F9" s="42"/>
      <c r="G9" s="41"/>
    </row>
    <row r="10" customFormat="false" ht="31" hidden="false" customHeight="true" outlineLevel="0" collapsed="false">
      <c r="A10" s="38" t="s">
        <v>128</v>
      </c>
      <c r="B10" s="4" t="s">
        <v>272</v>
      </c>
      <c r="C10" s="4" t="s">
        <v>160</v>
      </c>
      <c r="D10" s="4" t="s">
        <v>281</v>
      </c>
      <c r="E10" s="4" t="s">
        <v>282</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283</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48.6" hidden="false" customHeight="false" outlineLevel="0" collapsed="false">
      <c r="A14" s="52" t="s">
        <v>128</v>
      </c>
      <c r="B14" s="53" t="s">
        <v>284</v>
      </c>
      <c r="C14" s="53" t="s">
        <v>148</v>
      </c>
      <c r="D14" s="53" t="s">
        <v>285</v>
      </c>
      <c r="E14" s="53" t="s">
        <v>286</v>
      </c>
      <c r="F14" s="40"/>
      <c r="G14" s="54"/>
    </row>
    <row r="15" customFormat="false" ht="36.85" hidden="false" customHeight="false" outlineLevel="0" collapsed="false">
      <c r="A15" s="38" t="s">
        <v>128</v>
      </c>
      <c r="B15" s="4" t="s">
        <v>284</v>
      </c>
      <c r="C15" s="4" t="s">
        <v>151</v>
      </c>
      <c r="D15" s="4" t="s">
        <v>287</v>
      </c>
      <c r="E15" s="4" t="s">
        <v>288</v>
      </c>
      <c r="F15" s="42"/>
      <c r="G15" s="41"/>
    </row>
    <row r="16" customFormat="false" ht="25.15" hidden="false" customHeight="false" outlineLevel="0" collapsed="false">
      <c r="A16" s="38" t="s">
        <v>128</v>
      </c>
      <c r="B16" s="4" t="s">
        <v>284</v>
      </c>
      <c r="C16" s="4" t="s">
        <v>154</v>
      </c>
      <c r="D16" s="4" t="s">
        <v>289</v>
      </c>
      <c r="E16" s="4" t="s">
        <v>290</v>
      </c>
      <c r="F16" s="42"/>
      <c r="G16" s="41"/>
    </row>
    <row r="17" customFormat="false" ht="25.15" hidden="false" customHeight="false" outlineLevel="0" collapsed="false">
      <c r="A17" s="38" t="s">
        <v>128</v>
      </c>
      <c r="B17" s="4" t="s">
        <v>284</v>
      </c>
      <c r="C17" s="4" t="s">
        <v>157</v>
      </c>
      <c r="D17" s="4" t="s">
        <v>291</v>
      </c>
      <c r="E17" s="4" t="s">
        <v>292</v>
      </c>
      <c r="F17" s="42"/>
      <c r="G17" s="41"/>
    </row>
    <row r="18" customFormat="false" ht="25.15" hidden="false" customHeight="false" outlineLevel="0" collapsed="false">
      <c r="A18" s="38" t="s">
        <v>128</v>
      </c>
      <c r="B18" s="4" t="s">
        <v>284</v>
      </c>
      <c r="C18" s="4" t="s">
        <v>160</v>
      </c>
      <c r="D18" s="4" t="s">
        <v>293</v>
      </c>
      <c r="E18" s="4" t="s">
        <v>294</v>
      </c>
      <c r="F18" s="42"/>
      <c r="G18" s="41"/>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295</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36.85" hidden="false" customHeight="false" outlineLevel="0" collapsed="false">
      <c r="A22" s="52" t="s">
        <v>128</v>
      </c>
      <c r="B22" s="53" t="s">
        <v>296</v>
      </c>
      <c r="C22" s="53" t="s">
        <v>148</v>
      </c>
      <c r="D22" s="53" t="s">
        <v>297</v>
      </c>
      <c r="E22" s="53" t="s">
        <v>298</v>
      </c>
      <c r="F22" s="42"/>
      <c r="G22" s="54"/>
    </row>
    <row r="23" customFormat="false" ht="36.85" hidden="false" customHeight="false" outlineLevel="0" collapsed="false">
      <c r="A23" s="38" t="s">
        <v>128</v>
      </c>
      <c r="B23" s="4" t="s">
        <v>296</v>
      </c>
      <c r="C23" s="4" t="s">
        <v>151</v>
      </c>
      <c r="D23" s="4" t="s">
        <v>299</v>
      </c>
      <c r="E23" s="4" t="s">
        <v>300</v>
      </c>
      <c r="F23" s="42"/>
      <c r="G23" s="41"/>
    </row>
    <row r="24" customFormat="false" ht="25.15" hidden="false" customHeight="false" outlineLevel="0" collapsed="false">
      <c r="A24" s="38" t="s">
        <v>128</v>
      </c>
      <c r="B24" s="4" t="s">
        <v>296</v>
      </c>
      <c r="C24" s="4" t="s">
        <v>154</v>
      </c>
      <c r="D24" s="4" t="s">
        <v>301</v>
      </c>
      <c r="E24" s="4" t="s">
        <v>302</v>
      </c>
      <c r="F24" s="42"/>
      <c r="G24" s="41"/>
    </row>
    <row r="25" customFormat="false" ht="25.15" hidden="false" customHeight="false" outlineLevel="0" collapsed="false">
      <c r="A25" s="38" t="s">
        <v>128</v>
      </c>
      <c r="B25" s="4" t="s">
        <v>296</v>
      </c>
      <c r="C25" s="4" t="s">
        <v>157</v>
      </c>
      <c r="D25" s="4" t="s">
        <v>303</v>
      </c>
      <c r="E25" s="4" t="s">
        <v>304</v>
      </c>
      <c r="F25" s="42"/>
      <c r="G25" s="41"/>
    </row>
    <row r="26" customFormat="false" ht="25.15" hidden="false" customHeight="false" outlineLevel="0" collapsed="false">
      <c r="A26" s="38" t="s">
        <v>128</v>
      </c>
      <c r="B26" s="4" t="s">
        <v>296</v>
      </c>
      <c r="C26" s="4" t="s">
        <v>160</v>
      </c>
      <c r="D26" s="4" t="s">
        <v>305</v>
      </c>
      <c r="E26" s="4" t="s">
        <v>306</v>
      </c>
      <c r="F26" s="42"/>
      <c r="G26" s="41"/>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307</v>
      </c>
      <c r="E28" s="59"/>
      <c r="F28" s="50" t="e">
        <f aca="false">AVERAGE(F22:F26)</f>
        <v>#DIV/0!</v>
      </c>
      <c r="G28" s="51"/>
    </row>
    <row r="29" s="33" customFormat="true" ht="12.8" hidden="false" customHeight="false" outlineLevel="0" collapsed="false">
      <c r="A29" s="43"/>
      <c r="B29" s="44"/>
      <c r="C29" s="44"/>
      <c r="D29" s="60"/>
      <c r="E29" s="44"/>
      <c r="F29" s="44"/>
      <c r="G29" s="46"/>
    </row>
  </sheetData>
  <mergeCells count="4">
    <mergeCell ref="A1:G4"/>
    <mergeCell ref="D12:E12"/>
    <mergeCell ref="D20:E20"/>
    <mergeCell ref="D28:E2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7" colorId="64" zoomScale="67" zoomScaleNormal="67" zoomScalePageLayoutView="100" workbookViewId="0">
      <selection pane="topLeft" activeCell="F36" activeCellId="0" sqref="F36"/>
    </sheetView>
  </sheetViews>
  <sheetFormatPr defaultColWidth="11.53515625" defaultRowHeight="12.8" zeroHeight="false" outlineLevelRow="0" outlineLevelCol="0"/>
  <cols>
    <col collapsed="false" customWidth="true" hidden="false" outlineLevel="0" max="2" min="2" style="0" width="14.79"/>
    <col collapsed="false" customWidth="true" hidden="false" outlineLevel="0" max="4" min="4" style="0" width="18.38"/>
    <col collapsed="false" customWidth="true" hidden="false" outlineLevel="0" max="5" min="5" style="0" width="17.19"/>
    <col collapsed="false" customWidth="true" hidden="false" outlineLevel="0" max="7" min="7" style="0" width="28.85"/>
  </cols>
  <sheetData>
    <row r="1" customFormat="false" ht="12.8" hidden="false" customHeight="false" outlineLevel="0" collapsed="false">
      <c r="A1" s="34" t="s">
        <v>129</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60.35" hidden="false" customHeight="true" outlineLevel="0" collapsed="false">
      <c r="A6" s="38" t="s">
        <v>129</v>
      </c>
      <c r="B6" s="4" t="s">
        <v>308</v>
      </c>
      <c r="C6" s="4" t="s">
        <v>148</v>
      </c>
      <c r="D6" s="4" t="s">
        <v>309</v>
      </c>
      <c r="E6" s="4" t="s">
        <v>310</v>
      </c>
      <c r="F6" s="42"/>
      <c r="G6" s="41"/>
    </row>
    <row r="7" customFormat="false" ht="50.3" hidden="false" customHeight="true" outlineLevel="0" collapsed="false">
      <c r="A7" s="38" t="s">
        <v>129</v>
      </c>
      <c r="B7" s="4" t="s">
        <v>308</v>
      </c>
      <c r="C7" s="4" t="s">
        <v>151</v>
      </c>
      <c r="D7" s="4" t="s">
        <v>311</v>
      </c>
      <c r="E7" s="4" t="s">
        <v>312</v>
      </c>
      <c r="F7" s="42"/>
      <c r="G7" s="41"/>
    </row>
    <row r="8" customFormat="false" ht="43.6" hidden="false" customHeight="true" outlineLevel="0" collapsed="false">
      <c r="A8" s="38" t="s">
        <v>129</v>
      </c>
      <c r="B8" s="4" t="s">
        <v>308</v>
      </c>
      <c r="C8" s="4" t="s">
        <v>154</v>
      </c>
      <c r="D8" s="4" t="s">
        <v>313</v>
      </c>
      <c r="E8" s="4" t="s">
        <v>314</v>
      </c>
      <c r="F8" s="42"/>
      <c r="G8" s="41"/>
    </row>
    <row r="9" customFormat="false" ht="37.7" hidden="false" customHeight="true" outlineLevel="0" collapsed="false">
      <c r="A9" s="38" t="s">
        <v>129</v>
      </c>
      <c r="B9" s="4" t="s">
        <v>308</v>
      </c>
      <c r="C9" s="4" t="s">
        <v>157</v>
      </c>
      <c r="D9" s="4" t="s">
        <v>315</v>
      </c>
      <c r="E9" s="4" t="s">
        <v>316</v>
      </c>
      <c r="F9" s="42"/>
      <c r="G9" s="41"/>
    </row>
    <row r="10" customFormat="false" ht="25.15" hidden="false" customHeight="false" outlineLevel="0" collapsed="false">
      <c r="A10" s="38" t="s">
        <v>129</v>
      </c>
      <c r="B10" s="4" t="s">
        <v>308</v>
      </c>
      <c r="C10" s="4" t="s">
        <v>160</v>
      </c>
      <c r="D10" s="4" t="s">
        <v>317</v>
      </c>
      <c r="E10" s="4" t="s">
        <v>318</v>
      </c>
      <c r="F10" s="42"/>
      <c r="G10" s="41"/>
    </row>
    <row r="11" customFormat="false" ht="12.8" hidden="false" customHeight="false" outlineLevel="0" collapsed="false">
      <c r="A11" s="55"/>
      <c r="B11" s="56"/>
      <c r="C11" s="56"/>
      <c r="D11" s="57"/>
      <c r="E11" s="56"/>
      <c r="F11" s="56"/>
      <c r="G11" s="58"/>
    </row>
    <row r="12" customFormat="false" ht="12.8" hidden="false" customHeight="true" outlineLevel="0" collapsed="false">
      <c r="A12" s="47"/>
      <c r="B12" s="19"/>
      <c r="C12" s="48"/>
      <c r="D12" s="59" t="s">
        <v>319</v>
      </c>
      <c r="E12" s="59"/>
      <c r="F12" s="50" t="e">
        <f aca="false">AVERAGE(F6:F10)</f>
        <v>#DIV/0!</v>
      </c>
      <c r="G12" s="51"/>
    </row>
    <row r="13" customFormat="false" ht="12.8" hidden="false" customHeight="false" outlineLevel="0" collapsed="false">
      <c r="A13" s="43"/>
      <c r="B13" s="44"/>
      <c r="C13" s="44"/>
      <c r="D13" s="60"/>
      <c r="E13" s="44"/>
      <c r="F13" s="44"/>
      <c r="G13" s="46"/>
    </row>
    <row r="14" customFormat="false" ht="48.6" hidden="false" customHeight="false" outlineLevel="0" collapsed="false">
      <c r="A14" s="52" t="s">
        <v>129</v>
      </c>
      <c r="B14" s="53" t="s">
        <v>320</v>
      </c>
      <c r="C14" s="53" t="s">
        <v>148</v>
      </c>
      <c r="D14" s="53" t="s">
        <v>321</v>
      </c>
      <c r="E14" s="53" t="s">
        <v>322</v>
      </c>
      <c r="F14" s="42"/>
      <c r="G14" s="54"/>
    </row>
    <row r="15" customFormat="false" ht="36.85" hidden="false" customHeight="false" outlineLevel="0" collapsed="false">
      <c r="A15" s="38" t="s">
        <v>129</v>
      </c>
      <c r="B15" s="4" t="s">
        <v>320</v>
      </c>
      <c r="C15" s="4" t="s">
        <v>151</v>
      </c>
      <c r="D15" s="4" t="s">
        <v>323</v>
      </c>
      <c r="E15" s="4" t="s">
        <v>324</v>
      </c>
      <c r="F15" s="42"/>
      <c r="G15" s="41"/>
    </row>
    <row r="16" customFormat="false" ht="25.15" hidden="false" customHeight="false" outlineLevel="0" collapsed="false">
      <c r="A16" s="38" t="s">
        <v>129</v>
      </c>
      <c r="B16" s="4" t="s">
        <v>320</v>
      </c>
      <c r="C16" s="4" t="s">
        <v>154</v>
      </c>
      <c r="D16" s="4" t="s">
        <v>325</v>
      </c>
      <c r="E16" s="4" t="s">
        <v>326</v>
      </c>
      <c r="F16" s="42"/>
      <c r="G16" s="41"/>
    </row>
    <row r="17" customFormat="false" ht="25.15" hidden="false" customHeight="false" outlineLevel="0" collapsed="false">
      <c r="A17" s="38" t="s">
        <v>129</v>
      </c>
      <c r="B17" s="4" t="s">
        <v>320</v>
      </c>
      <c r="C17" s="4" t="s">
        <v>157</v>
      </c>
      <c r="D17" s="4" t="s">
        <v>327</v>
      </c>
      <c r="E17" s="4" t="s">
        <v>328</v>
      </c>
      <c r="F17" s="42"/>
      <c r="G17" s="41"/>
    </row>
    <row r="18" customFormat="false" ht="25.15" hidden="false" customHeight="false" outlineLevel="0" collapsed="false">
      <c r="A18" s="38" t="s">
        <v>129</v>
      </c>
      <c r="B18" s="4" t="s">
        <v>320</v>
      </c>
      <c r="C18" s="4" t="s">
        <v>160</v>
      </c>
      <c r="D18" s="4" t="s">
        <v>317</v>
      </c>
      <c r="E18" s="4" t="s">
        <v>329</v>
      </c>
      <c r="F18" s="42"/>
      <c r="G18" s="41"/>
    </row>
    <row r="19" customFormat="false" ht="12.8" hidden="false" customHeight="false" outlineLevel="0" collapsed="false">
      <c r="A19" s="55"/>
      <c r="B19" s="56"/>
      <c r="C19" s="56"/>
      <c r="D19" s="57"/>
      <c r="E19" s="56"/>
      <c r="F19" s="56"/>
      <c r="G19" s="58"/>
    </row>
    <row r="20" customFormat="false" ht="12.8" hidden="false" customHeight="true" outlineLevel="0" collapsed="false">
      <c r="A20" s="47"/>
      <c r="B20" s="19"/>
      <c r="C20" s="48"/>
      <c r="D20" s="59" t="s">
        <v>330</v>
      </c>
      <c r="E20" s="59"/>
      <c r="F20" s="50" t="e">
        <f aca="false">AVERAGE(F14:F18)</f>
        <v>#DIV/0!</v>
      </c>
      <c r="G20" s="51"/>
    </row>
    <row r="21" customFormat="false" ht="12.8" hidden="false" customHeight="false" outlineLevel="0" collapsed="false">
      <c r="A21" s="43"/>
      <c r="B21" s="44"/>
      <c r="C21" s="44"/>
      <c r="D21" s="60"/>
      <c r="E21" s="44"/>
      <c r="F21" s="44"/>
      <c r="G21" s="46"/>
    </row>
    <row r="22" customFormat="false" ht="48.6" hidden="false" customHeight="false" outlineLevel="0" collapsed="false">
      <c r="A22" s="52" t="s">
        <v>129</v>
      </c>
      <c r="B22" s="53" t="s">
        <v>331</v>
      </c>
      <c r="C22" s="53" t="s">
        <v>148</v>
      </c>
      <c r="D22" s="53" t="s">
        <v>332</v>
      </c>
      <c r="E22" s="53" t="s">
        <v>333</v>
      </c>
      <c r="F22" s="42"/>
      <c r="G22" s="54"/>
    </row>
    <row r="23" customFormat="false" ht="25.15" hidden="false" customHeight="false" outlineLevel="0" collapsed="false">
      <c r="A23" s="38" t="s">
        <v>129</v>
      </c>
      <c r="B23" s="4" t="s">
        <v>331</v>
      </c>
      <c r="C23" s="4" t="s">
        <v>151</v>
      </c>
      <c r="D23" s="4" t="s">
        <v>334</v>
      </c>
      <c r="E23" s="4" t="s">
        <v>335</v>
      </c>
      <c r="F23" s="42"/>
      <c r="G23" s="41"/>
    </row>
    <row r="24" customFormat="false" ht="25.15" hidden="false" customHeight="false" outlineLevel="0" collapsed="false">
      <c r="A24" s="38" t="s">
        <v>129</v>
      </c>
      <c r="B24" s="4" t="s">
        <v>331</v>
      </c>
      <c r="C24" s="4" t="s">
        <v>154</v>
      </c>
      <c r="D24" s="4" t="s">
        <v>336</v>
      </c>
      <c r="E24" s="4" t="s">
        <v>337</v>
      </c>
      <c r="F24" s="42"/>
      <c r="G24" s="41"/>
    </row>
    <row r="25" customFormat="false" ht="25.15" hidden="false" customHeight="false" outlineLevel="0" collapsed="false">
      <c r="A25" s="38" t="s">
        <v>129</v>
      </c>
      <c r="B25" s="4" t="s">
        <v>331</v>
      </c>
      <c r="C25" s="4" t="s">
        <v>157</v>
      </c>
      <c r="D25" s="4" t="s">
        <v>338</v>
      </c>
      <c r="E25" s="4" t="s">
        <v>339</v>
      </c>
      <c r="F25" s="42"/>
      <c r="G25" s="41"/>
    </row>
    <row r="26" customFormat="false" ht="25.15" hidden="false" customHeight="false" outlineLevel="0" collapsed="false">
      <c r="A26" s="38" t="s">
        <v>129</v>
      </c>
      <c r="B26" s="4" t="s">
        <v>331</v>
      </c>
      <c r="C26" s="4" t="s">
        <v>160</v>
      </c>
      <c r="D26" s="4" t="s">
        <v>340</v>
      </c>
      <c r="E26" s="4" t="s">
        <v>341</v>
      </c>
      <c r="F26" s="42"/>
      <c r="G26" s="41"/>
    </row>
    <row r="27" customFormat="false" ht="12.8" hidden="false" customHeight="false" outlineLevel="0" collapsed="false">
      <c r="A27" s="55"/>
      <c r="B27" s="56"/>
      <c r="C27" s="56"/>
      <c r="D27" s="57"/>
      <c r="E27" s="56"/>
      <c r="F27" s="56"/>
      <c r="G27" s="58"/>
    </row>
    <row r="28" customFormat="false" ht="12.8" hidden="false" customHeight="true" outlineLevel="0" collapsed="false">
      <c r="A28" s="47"/>
      <c r="B28" s="19"/>
      <c r="C28" s="48"/>
      <c r="D28" s="59" t="s">
        <v>342</v>
      </c>
      <c r="E28" s="59"/>
      <c r="F28" s="50" t="e">
        <f aca="false">AVERAGE(F22:F26)</f>
        <v>#DIV/0!</v>
      </c>
      <c r="G28" s="51"/>
    </row>
    <row r="29" customFormat="false" ht="12.8" hidden="false" customHeight="false" outlineLevel="0" collapsed="false">
      <c r="A29" s="43"/>
      <c r="B29" s="44"/>
      <c r="C29" s="44"/>
      <c r="D29" s="60"/>
      <c r="E29" s="44"/>
      <c r="F29" s="44"/>
      <c r="G29" s="46"/>
    </row>
    <row r="30" customFormat="false" ht="48.6" hidden="false" customHeight="false" outlineLevel="0" collapsed="false">
      <c r="A30" s="52" t="s">
        <v>129</v>
      </c>
      <c r="B30" s="53" t="s">
        <v>343</v>
      </c>
      <c r="C30" s="53" t="s">
        <v>148</v>
      </c>
      <c r="D30" s="53" t="s">
        <v>344</v>
      </c>
      <c r="E30" s="53" t="s">
        <v>345</v>
      </c>
      <c r="F30" s="42"/>
      <c r="G30" s="54"/>
    </row>
    <row r="31" customFormat="false" ht="25.15" hidden="false" customHeight="false" outlineLevel="0" collapsed="false">
      <c r="A31" s="38" t="s">
        <v>129</v>
      </c>
      <c r="B31" s="4" t="s">
        <v>343</v>
      </c>
      <c r="C31" s="4" t="s">
        <v>151</v>
      </c>
      <c r="D31" s="4" t="s">
        <v>346</v>
      </c>
      <c r="E31" s="4" t="s">
        <v>347</v>
      </c>
      <c r="F31" s="42"/>
      <c r="G31" s="41"/>
    </row>
    <row r="32" customFormat="false" ht="25.15" hidden="false" customHeight="false" outlineLevel="0" collapsed="false">
      <c r="A32" s="38" t="s">
        <v>129</v>
      </c>
      <c r="B32" s="4" t="s">
        <v>343</v>
      </c>
      <c r="C32" s="4" t="s">
        <v>154</v>
      </c>
      <c r="D32" s="4" t="s">
        <v>348</v>
      </c>
      <c r="E32" s="4" t="s">
        <v>349</v>
      </c>
      <c r="F32" s="42"/>
      <c r="G32" s="41"/>
    </row>
    <row r="33" customFormat="false" ht="25.15" hidden="false" customHeight="false" outlineLevel="0" collapsed="false">
      <c r="A33" s="38" t="s">
        <v>129</v>
      </c>
      <c r="B33" s="4" t="s">
        <v>343</v>
      </c>
      <c r="C33" s="4" t="s">
        <v>157</v>
      </c>
      <c r="D33" s="4" t="s">
        <v>350</v>
      </c>
      <c r="E33" s="4" t="s">
        <v>351</v>
      </c>
      <c r="F33" s="42"/>
      <c r="G33" s="41"/>
    </row>
    <row r="34" customFormat="false" ht="25.15" hidden="false" customHeight="false" outlineLevel="0" collapsed="false">
      <c r="A34" s="38" t="s">
        <v>129</v>
      </c>
      <c r="B34" s="4" t="s">
        <v>343</v>
      </c>
      <c r="C34" s="4" t="s">
        <v>160</v>
      </c>
      <c r="D34" s="4" t="s">
        <v>352</v>
      </c>
      <c r="E34" s="4" t="s">
        <v>353</v>
      </c>
      <c r="F34" s="42"/>
      <c r="G34" s="41"/>
    </row>
    <row r="35" customFormat="false" ht="12.8" hidden="false" customHeight="false" outlineLevel="0" collapsed="false">
      <c r="A35" s="55"/>
      <c r="B35" s="56"/>
      <c r="C35" s="56"/>
      <c r="D35" s="57"/>
      <c r="E35" s="56"/>
      <c r="F35" s="56"/>
      <c r="G35" s="58"/>
    </row>
    <row r="36" customFormat="false" ht="16.75" hidden="false" customHeight="true" outlineLevel="0" collapsed="false">
      <c r="A36" s="47"/>
      <c r="B36" s="19"/>
      <c r="C36" s="48"/>
      <c r="D36" s="59" t="s">
        <v>354</v>
      </c>
      <c r="E36" s="59"/>
      <c r="F36" s="50" t="e">
        <f aca="false">AVERAGE(F30:F34)</f>
        <v>#DIV/0!</v>
      </c>
      <c r="G36" s="51"/>
    </row>
    <row r="37" s="33" customFormat="true" ht="12.8" hidden="false" customHeight="false" outlineLevel="0" collapsed="false">
      <c r="A37" s="43"/>
      <c r="B37" s="44"/>
      <c r="C37" s="44"/>
      <c r="D37" s="60"/>
      <c r="E37" s="44"/>
      <c r="F37" s="44"/>
      <c r="G37" s="46"/>
    </row>
  </sheetData>
  <mergeCells count="5">
    <mergeCell ref="A1:G4"/>
    <mergeCell ref="D12:E12"/>
    <mergeCell ref="D20:E20"/>
    <mergeCell ref="D28:E28"/>
    <mergeCell ref="D36:E3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12" activeCellId="0" sqref="F12"/>
    </sheetView>
  </sheetViews>
  <sheetFormatPr defaultColWidth="11.53515625" defaultRowHeight="12.8" zeroHeight="false" outlineLevelRow="0" outlineLevelCol="0"/>
  <cols>
    <col collapsed="false" customWidth="true" hidden="false" outlineLevel="0" max="4" min="4" style="0" width="19.58"/>
    <col collapsed="false" customWidth="true" hidden="false" outlineLevel="0" max="5" min="5" style="0" width="18.83"/>
    <col collapsed="false" customWidth="true" hidden="false" outlineLevel="0" max="7" min="7" style="0" width="24.36"/>
  </cols>
  <sheetData>
    <row r="1" customFormat="false" ht="12.8" hidden="false" customHeight="false" outlineLevel="0" collapsed="false">
      <c r="A1" s="34" t="s">
        <v>130</v>
      </c>
      <c r="B1" s="34"/>
      <c r="C1" s="34"/>
      <c r="D1" s="34"/>
      <c r="E1" s="34"/>
      <c r="F1" s="34"/>
      <c r="G1" s="34"/>
    </row>
    <row r="2" customFormat="false" ht="12.8" hidden="false" customHeight="tru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45.25" hidden="false" customHeight="true" outlineLevel="0" collapsed="false">
      <c r="A6" s="38" t="s">
        <v>130</v>
      </c>
      <c r="B6" s="4" t="s">
        <v>29</v>
      </c>
      <c r="C6" s="4" t="s">
        <v>148</v>
      </c>
      <c r="D6" s="4" t="s">
        <v>355</v>
      </c>
      <c r="E6" s="4" t="s">
        <v>356</v>
      </c>
      <c r="F6" s="42"/>
      <c r="G6" s="41"/>
    </row>
    <row r="7" customFormat="false" ht="39.4" hidden="false" customHeight="true" outlineLevel="0" collapsed="false">
      <c r="A7" s="38" t="s">
        <v>130</v>
      </c>
      <c r="B7" s="4" t="s">
        <v>29</v>
      </c>
      <c r="C7" s="4" t="s">
        <v>151</v>
      </c>
      <c r="D7" s="4" t="s">
        <v>357</v>
      </c>
      <c r="E7" s="4" t="s">
        <v>358</v>
      </c>
      <c r="F7" s="42"/>
      <c r="G7" s="41"/>
    </row>
    <row r="8" customFormat="false" ht="36.85" hidden="false" customHeight="true" outlineLevel="0" collapsed="false">
      <c r="A8" s="38" t="s">
        <v>130</v>
      </c>
      <c r="B8" s="4" t="s">
        <v>29</v>
      </c>
      <c r="C8" s="4" t="s">
        <v>154</v>
      </c>
      <c r="D8" s="4" t="s">
        <v>359</v>
      </c>
      <c r="E8" s="4" t="s">
        <v>360</v>
      </c>
      <c r="F8" s="42"/>
      <c r="G8" s="41"/>
    </row>
    <row r="9" customFormat="false" ht="31.85" hidden="false" customHeight="true" outlineLevel="0" collapsed="false">
      <c r="A9" s="38" t="s">
        <v>130</v>
      </c>
      <c r="B9" s="4" t="s">
        <v>29</v>
      </c>
      <c r="C9" s="4" t="s">
        <v>157</v>
      </c>
      <c r="D9" s="4" t="s">
        <v>361</v>
      </c>
      <c r="E9" s="4" t="s">
        <v>362</v>
      </c>
      <c r="F9" s="42"/>
      <c r="G9" s="41"/>
    </row>
    <row r="10" customFormat="false" ht="29.3" hidden="false" customHeight="true" outlineLevel="0" collapsed="false">
      <c r="A10" s="38" t="s">
        <v>130</v>
      </c>
      <c r="B10" s="4" t="s">
        <v>29</v>
      </c>
      <c r="C10" s="4" t="s">
        <v>160</v>
      </c>
      <c r="D10" s="4" t="s">
        <v>363</v>
      </c>
      <c r="E10" s="4" t="s">
        <v>364</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365</v>
      </c>
      <c r="E12" s="59"/>
      <c r="F12" s="50" t="e">
        <f aca="false">AVERAGE(F6:F10)</f>
        <v>#DIV/0!</v>
      </c>
      <c r="G12" s="51"/>
    </row>
    <row r="13" s="33" customFormat="true" ht="12.8" hidden="false" customHeight="false" outlineLevel="0" collapsed="false">
      <c r="A13" s="43"/>
      <c r="B13" s="44"/>
      <c r="C13" s="44"/>
      <c r="D13" s="60"/>
      <c r="E13" s="44"/>
      <c r="F13" s="44"/>
      <c r="G13" s="46"/>
    </row>
  </sheetData>
  <mergeCells count="2">
    <mergeCell ref="A1:G4"/>
    <mergeCell ref="D12:E1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2" colorId="64" zoomScale="67" zoomScaleNormal="67" zoomScalePageLayoutView="100" workbookViewId="0">
      <selection pane="topLeft" activeCell="F20" activeCellId="0" sqref="F20"/>
    </sheetView>
  </sheetViews>
  <sheetFormatPr defaultColWidth="11.53515625" defaultRowHeight="12.8" zeroHeight="false" outlineLevelRow="0" outlineLevelCol="0"/>
  <cols>
    <col collapsed="false" customWidth="true" hidden="false" outlineLevel="0" max="2" min="2" style="0" width="13.6"/>
    <col collapsed="false" customWidth="true" hidden="false" outlineLevel="0" max="4" min="4" style="0" width="23.02"/>
    <col collapsed="false" customWidth="true" hidden="false" outlineLevel="0" max="5" min="5" style="0" width="18.08"/>
    <col collapsed="false" customWidth="true" hidden="false" outlineLevel="0" max="7" min="7" style="0" width="24.96"/>
  </cols>
  <sheetData>
    <row r="1" customFormat="false" ht="12.8" hidden="false" customHeight="false" outlineLevel="0" collapsed="false">
      <c r="A1" s="34" t="s">
        <v>366</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62.85" hidden="false" customHeight="true" outlineLevel="0" collapsed="false">
      <c r="A6" s="38" t="s">
        <v>366</v>
      </c>
      <c r="B6" s="4" t="s">
        <v>367</v>
      </c>
      <c r="C6" s="4" t="s">
        <v>148</v>
      </c>
      <c r="D6" s="4" t="s">
        <v>368</v>
      </c>
      <c r="E6" s="4" t="s">
        <v>369</v>
      </c>
      <c r="F6" s="42"/>
      <c r="G6" s="41"/>
    </row>
    <row r="7" customFormat="false" ht="44.4" hidden="false" customHeight="true" outlineLevel="0" collapsed="false">
      <c r="A7" s="38" t="s">
        <v>366</v>
      </c>
      <c r="B7" s="4" t="s">
        <v>367</v>
      </c>
      <c r="C7" s="4" t="s">
        <v>151</v>
      </c>
      <c r="D7" s="4" t="s">
        <v>370</v>
      </c>
      <c r="E7" s="4" t="s">
        <v>371</v>
      </c>
      <c r="F7" s="42"/>
      <c r="G7" s="41"/>
    </row>
    <row r="8" customFormat="false" ht="51.95" hidden="false" customHeight="true" outlineLevel="0" collapsed="false">
      <c r="A8" s="38" t="s">
        <v>366</v>
      </c>
      <c r="B8" s="4" t="s">
        <v>367</v>
      </c>
      <c r="C8" s="4" t="s">
        <v>154</v>
      </c>
      <c r="D8" s="4" t="s">
        <v>372</v>
      </c>
      <c r="E8" s="4" t="s">
        <v>373</v>
      </c>
      <c r="F8" s="42"/>
      <c r="G8" s="41"/>
    </row>
    <row r="9" customFormat="false" ht="33.5" hidden="false" customHeight="true" outlineLevel="0" collapsed="false">
      <c r="A9" s="38" t="s">
        <v>366</v>
      </c>
      <c r="B9" s="4" t="s">
        <v>367</v>
      </c>
      <c r="C9" s="4" t="s">
        <v>157</v>
      </c>
      <c r="D9" s="4" t="s">
        <v>374</v>
      </c>
      <c r="E9" s="4" t="s">
        <v>375</v>
      </c>
      <c r="F9" s="42"/>
      <c r="G9" s="41"/>
    </row>
    <row r="10" customFormat="false" ht="25.15" hidden="false" customHeight="false" outlineLevel="0" collapsed="false">
      <c r="A10" s="38" t="s">
        <v>366</v>
      </c>
      <c r="B10" s="4" t="s">
        <v>367</v>
      </c>
      <c r="C10" s="4" t="s">
        <v>160</v>
      </c>
      <c r="D10" s="4" t="s">
        <v>376</v>
      </c>
      <c r="E10" s="4" t="s">
        <v>377</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378</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36.85" hidden="false" customHeight="false" outlineLevel="0" collapsed="false">
      <c r="A14" s="52" t="s">
        <v>366</v>
      </c>
      <c r="B14" s="53" t="s">
        <v>379</v>
      </c>
      <c r="C14" s="53" t="s">
        <v>148</v>
      </c>
      <c r="D14" s="53" t="s">
        <v>380</v>
      </c>
      <c r="E14" s="53" t="s">
        <v>381</v>
      </c>
      <c r="F14" s="42"/>
      <c r="G14" s="54"/>
    </row>
    <row r="15" customFormat="false" ht="36.85" hidden="false" customHeight="false" outlineLevel="0" collapsed="false">
      <c r="A15" s="38" t="s">
        <v>366</v>
      </c>
      <c r="B15" s="4" t="s">
        <v>379</v>
      </c>
      <c r="C15" s="4" t="s">
        <v>151</v>
      </c>
      <c r="D15" s="4" t="s">
        <v>382</v>
      </c>
      <c r="E15" s="4" t="s">
        <v>383</v>
      </c>
      <c r="F15" s="42"/>
      <c r="G15" s="41"/>
    </row>
    <row r="16" customFormat="false" ht="25.15" hidden="false" customHeight="false" outlineLevel="0" collapsed="false">
      <c r="A16" s="38" t="s">
        <v>366</v>
      </c>
      <c r="B16" s="4" t="s">
        <v>379</v>
      </c>
      <c r="C16" s="4" t="s">
        <v>154</v>
      </c>
      <c r="D16" s="4" t="s">
        <v>384</v>
      </c>
      <c r="E16" s="4" t="s">
        <v>385</v>
      </c>
      <c r="F16" s="42"/>
      <c r="G16" s="41"/>
    </row>
    <row r="17" customFormat="false" ht="25.15" hidden="false" customHeight="false" outlineLevel="0" collapsed="false">
      <c r="A17" s="38" t="s">
        <v>366</v>
      </c>
      <c r="B17" s="4" t="s">
        <v>379</v>
      </c>
      <c r="C17" s="4" t="s">
        <v>157</v>
      </c>
      <c r="D17" s="4" t="s">
        <v>386</v>
      </c>
      <c r="E17" s="4" t="s">
        <v>387</v>
      </c>
      <c r="F17" s="42"/>
      <c r="G17" s="41"/>
    </row>
    <row r="18" customFormat="false" ht="25.15" hidden="false" customHeight="false" outlineLevel="0" collapsed="false">
      <c r="A18" s="38" t="s">
        <v>366</v>
      </c>
      <c r="B18" s="4" t="s">
        <v>379</v>
      </c>
      <c r="C18" s="4" t="s">
        <v>160</v>
      </c>
      <c r="D18" s="4" t="s">
        <v>388</v>
      </c>
      <c r="E18" s="4" t="s">
        <v>389</v>
      </c>
      <c r="F18" s="42"/>
      <c r="G18" s="41"/>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390</v>
      </c>
      <c r="E20" s="59"/>
      <c r="F20" s="50" t="e">
        <f aca="false">AVERAGE(F14:F18)</f>
        <v>#DIV/0!</v>
      </c>
      <c r="G20" s="51"/>
    </row>
    <row r="21" s="33" customFormat="true" ht="12.8" hidden="false" customHeight="false" outlineLevel="0" collapsed="false">
      <c r="A21" s="43"/>
      <c r="B21" s="44"/>
      <c r="C21" s="44"/>
      <c r="D21" s="60"/>
      <c r="E21" s="44"/>
      <c r="F21" s="44"/>
      <c r="G21" s="46"/>
    </row>
  </sheetData>
  <mergeCells count="3">
    <mergeCell ref="A1:G4"/>
    <mergeCell ref="D12:E12"/>
    <mergeCell ref="D20:E2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12" activeCellId="0" sqref="F12"/>
    </sheetView>
  </sheetViews>
  <sheetFormatPr defaultColWidth="11.53515625" defaultRowHeight="12.8" zeroHeight="false" outlineLevelRow="0" outlineLevelCol="0"/>
  <cols>
    <col collapsed="false" customWidth="true" hidden="false" outlineLevel="0" max="4" min="4" style="0" width="18.23"/>
    <col collapsed="false" customWidth="true" hidden="false" outlineLevel="0" max="5" min="5" style="0" width="17.19"/>
    <col collapsed="false" customWidth="true" hidden="false" outlineLevel="0" max="7" min="7" style="0" width="25.26"/>
  </cols>
  <sheetData>
    <row r="1" customFormat="false" ht="12.8" hidden="false" customHeight="false" outlineLevel="0" collapsed="false">
      <c r="A1" s="34" t="s">
        <v>132</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1.1" hidden="false" customHeight="true" outlineLevel="0" collapsed="false">
      <c r="A6" s="38" t="s">
        <v>132</v>
      </c>
      <c r="B6" s="4" t="s">
        <v>391</v>
      </c>
      <c r="C6" s="4" t="s">
        <v>148</v>
      </c>
      <c r="D6" s="4" t="s">
        <v>392</v>
      </c>
      <c r="E6" s="4" t="s">
        <v>393</v>
      </c>
      <c r="F6" s="42"/>
      <c r="G6" s="41"/>
    </row>
    <row r="7" customFormat="false" ht="39.4" hidden="false" customHeight="true" outlineLevel="0" collapsed="false">
      <c r="A7" s="38" t="s">
        <v>132</v>
      </c>
      <c r="B7" s="4" t="s">
        <v>391</v>
      </c>
      <c r="C7" s="4" t="s">
        <v>151</v>
      </c>
      <c r="D7" s="4" t="s">
        <v>394</v>
      </c>
      <c r="E7" s="4" t="s">
        <v>395</v>
      </c>
      <c r="F7" s="42"/>
      <c r="G7" s="41"/>
    </row>
    <row r="8" customFormat="false" ht="39.4" hidden="false" customHeight="true" outlineLevel="0" collapsed="false">
      <c r="A8" s="38" t="s">
        <v>132</v>
      </c>
      <c r="B8" s="4" t="s">
        <v>391</v>
      </c>
      <c r="C8" s="4" t="s">
        <v>154</v>
      </c>
      <c r="D8" s="4" t="s">
        <v>396</v>
      </c>
      <c r="E8" s="4" t="s">
        <v>397</v>
      </c>
      <c r="F8" s="42"/>
      <c r="G8" s="41"/>
    </row>
    <row r="9" customFormat="false" ht="32.7" hidden="false" customHeight="true" outlineLevel="0" collapsed="false">
      <c r="A9" s="38" t="s">
        <v>132</v>
      </c>
      <c r="B9" s="4" t="s">
        <v>391</v>
      </c>
      <c r="C9" s="4" t="s">
        <v>157</v>
      </c>
      <c r="D9" s="4" t="s">
        <v>398</v>
      </c>
      <c r="E9" s="4" t="s">
        <v>399</v>
      </c>
      <c r="F9" s="42"/>
      <c r="G9" s="41"/>
    </row>
    <row r="10" customFormat="false" ht="32.7" hidden="false" customHeight="true" outlineLevel="0" collapsed="false">
      <c r="A10" s="38" t="s">
        <v>132</v>
      </c>
      <c r="B10" s="4" t="s">
        <v>391</v>
      </c>
      <c r="C10" s="4" t="s">
        <v>160</v>
      </c>
      <c r="D10" s="4" t="s">
        <v>400</v>
      </c>
      <c r="E10" s="4" t="s">
        <v>401</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402</v>
      </c>
      <c r="E12" s="59"/>
      <c r="F12" s="50" t="e">
        <f aca="false">AVERAGE(F6:F10)</f>
        <v>#DIV/0!</v>
      </c>
      <c r="G12" s="51"/>
    </row>
    <row r="13" s="33" customFormat="true" ht="12.8" hidden="false" customHeight="false" outlineLevel="0" collapsed="false">
      <c r="A13" s="43"/>
      <c r="B13" s="44"/>
      <c r="C13" s="44"/>
      <c r="D13" s="60"/>
      <c r="E13" s="44"/>
      <c r="F13" s="44"/>
      <c r="G13" s="46"/>
    </row>
  </sheetData>
  <mergeCells count="2">
    <mergeCell ref="A1:G4"/>
    <mergeCell ref="D12:E1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35" colorId="64" zoomScale="67" zoomScaleNormal="67" zoomScalePageLayoutView="100" workbookViewId="0">
      <selection pane="topLeft" activeCell="F12" activeCellId="0" sqref="F12"/>
    </sheetView>
  </sheetViews>
  <sheetFormatPr defaultColWidth="11.53515625" defaultRowHeight="12.8" zeroHeight="false" outlineLevelRow="0" outlineLevelCol="0"/>
  <cols>
    <col collapsed="false" customWidth="true" hidden="false" outlineLevel="0" max="4" min="4" style="0" width="19.73"/>
    <col collapsed="false" customWidth="true" hidden="false" outlineLevel="0" max="5" min="5" style="0" width="16.44"/>
    <col collapsed="false" customWidth="true" hidden="false" outlineLevel="0" max="7" min="7" style="0" width="18.83"/>
  </cols>
  <sheetData>
    <row r="1" customFormat="false" ht="12.8" hidden="false" customHeight="false" outlineLevel="0" collapsed="false">
      <c r="A1" s="34" t="s">
        <v>133</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1.1" hidden="false" customHeight="true" outlineLevel="0" collapsed="false">
      <c r="A6" s="61" t="s">
        <v>133</v>
      </c>
      <c r="B6" s="62" t="s">
        <v>403</v>
      </c>
      <c r="C6" s="62" t="s">
        <v>148</v>
      </c>
      <c r="D6" s="62" t="s">
        <v>404</v>
      </c>
      <c r="E6" s="62" t="s">
        <v>405</v>
      </c>
      <c r="F6" s="63"/>
      <c r="G6" s="64"/>
    </row>
    <row r="7" customFormat="false" ht="40.2" hidden="false" customHeight="true" outlineLevel="0" collapsed="false">
      <c r="A7" s="65" t="s">
        <v>133</v>
      </c>
      <c r="B7" s="4" t="s">
        <v>403</v>
      </c>
      <c r="C7" s="4" t="s">
        <v>151</v>
      </c>
      <c r="D7" s="4" t="s">
        <v>406</v>
      </c>
      <c r="E7" s="4" t="s">
        <v>407</v>
      </c>
      <c r="F7" s="42"/>
      <c r="G7" s="66"/>
    </row>
    <row r="8" customFormat="false" ht="33.5" hidden="false" customHeight="true" outlineLevel="0" collapsed="false">
      <c r="A8" s="65" t="s">
        <v>133</v>
      </c>
      <c r="B8" s="4" t="s">
        <v>403</v>
      </c>
      <c r="C8" s="4" t="s">
        <v>154</v>
      </c>
      <c r="D8" s="4" t="s">
        <v>408</v>
      </c>
      <c r="E8" s="4" t="s">
        <v>409</v>
      </c>
      <c r="F8" s="42"/>
      <c r="G8" s="66"/>
    </row>
    <row r="9" customFormat="false" ht="33.5" hidden="false" customHeight="true" outlineLevel="0" collapsed="false">
      <c r="A9" s="65" t="s">
        <v>133</v>
      </c>
      <c r="B9" s="4" t="s">
        <v>403</v>
      </c>
      <c r="C9" s="4" t="s">
        <v>157</v>
      </c>
      <c r="D9" s="4" t="s">
        <v>410</v>
      </c>
      <c r="E9" s="4" t="s">
        <v>411</v>
      </c>
      <c r="F9" s="42"/>
      <c r="G9" s="66"/>
    </row>
    <row r="10" customFormat="false" ht="33.5" hidden="false" customHeight="true" outlineLevel="0" collapsed="false">
      <c r="A10" s="67" t="s">
        <v>133</v>
      </c>
      <c r="B10" s="68" t="s">
        <v>403</v>
      </c>
      <c r="C10" s="68" t="s">
        <v>160</v>
      </c>
      <c r="D10" s="68" t="s">
        <v>412</v>
      </c>
      <c r="E10" s="68" t="s">
        <v>413</v>
      </c>
      <c r="F10" s="69"/>
      <c r="G10" s="70"/>
    </row>
    <row r="11" customFormat="false" ht="12.8" hidden="false" customHeight="false" outlineLevel="0" collapsed="false">
      <c r="A11" s="55"/>
      <c r="B11" s="56"/>
      <c r="C11" s="56"/>
      <c r="D11" s="57"/>
      <c r="E11" s="56"/>
      <c r="F11" s="56"/>
      <c r="G11" s="58"/>
    </row>
    <row r="12" customFormat="false" ht="12.8" hidden="false" customHeight="true" outlineLevel="0" collapsed="false">
      <c r="A12" s="47"/>
      <c r="B12" s="19"/>
      <c r="C12" s="48"/>
      <c r="D12" s="59" t="s">
        <v>414</v>
      </c>
      <c r="E12" s="59"/>
      <c r="F12" s="50" t="e">
        <f aca="false">AVERAGE(F6:F10)</f>
        <v>#DIV/0!</v>
      </c>
      <c r="G12" s="51"/>
    </row>
    <row r="13" customFormat="false" ht="12.8" hidden="false" customHeight="false" outlineLevel="0" collapsed="false">
      <c r="A13" s="43"/>
      <c r="B13" s="44"/>
      <c r="C13" s="44"/>
      <c r="D13" s="60"/>
      <c r="E13" s="44"/>
      <c r="F13" s="44"/>
      <c r="G13" s="46"/>
    </row>
    <row r="14" customFormat="false" ht="36.85" hidden="false" customHeight="false" outlineLevel="0" collapsed="false">
      <c r="A14" s="61" t="s">
        <v>133</v>
      </c>
      <c r="B14" s="62" t="s">
        <v>415</v>
      </c>
      <c r="C14" s="62" t="s">
        <v>148</v>
      </c>
      <c r="D14" s="62" t="s">
        <v>416</v>
      </c>
      <c r="E14" s="62" t="s">
        <v>417</v>
      </c>
      <c r="F14" s="63"/>
      <c r="G14" s="64"/>
    </row>
    <row r="15" customFormat="false" ht="25.15" hidden="false" customHeight="false" outlineLevel="0" collapsed="false">
      <c r="A15" s="65" t="s">
        <v>133</v>
      </c>
      <c r="B15" s="4" t="s">
        <v>415</v>
      </c>
      <c r="C15" s="4" t="s">
        <v>151</v>
      </c>
      <c r="D15" s="4" t="s">
        <v>418</v>
      </c>
      <c r="E15" s="4" t="s">
        <v>419</v>
      </c>
      <c r="F15" s="42"/>
      <c r="G15" s="66"/>
    </row>
    <row r="16" customFormat="false" ht="25.15" hidden="false" customHeight="false" outlineLevel="0" collapsed="false">
      <c r="A16" s="65" t="s">
        <v>133</v>
      </c>
      <c r="B16" s="4" t="s">
        <v>415</v>
      </c>
      <c r="C16" s="4" t="s">
        <v>154</v>
      </c>
      <c r="D16" s="4" t="s">
        <v>420</v>
      </c>
      <c r="E16" s="4" t="s">
        <v>421</v>
      </c>
      <c r="F16" s="42"/>
      <c r="G16" s="66"/>
    </row>
    <row r="17" customFormat="false" ht="25.15" hidden="false" customHeight="false" outlineLevel="0" collapsed="false">
      <c r="A17" s="65" t="s">
        <v>133</v>
      </c>
      <c r="B17" s="4" t="s">
        <v>415</v>
      </c>
      <c r="C17" s="4" t="s">
        <v>157</v>
      </c>
      <c r="D17" s="4" t="s">
        <v>422</v>
      </c>
      <c r="E17" s="4" t="s">
        <v>423</v>
      </c>
      <c r="F17" s="42"/>
      <c r="G17" s="66"/>
    </row>
    <row r="18" customFormat="false" ht="25.15" hidden="false" customHeight="false" outlineLevel="0" collapsed="false">
      <c r="A18" s="67" t="s">
        <v>133</v>
      </c>
      <c r="B18" s="68" t="s">
        <v>415</v>
      </c>
      <c r="C18" s="68" t="s">
        <v>160</v>
      </c>
      <c r="D18" s="68" t="s">
        <v>424</v>
      </c>
      <c r="E18" s="68" t="s">
        <v>425</v>
      </c>
      <c r="F18" s="69"/>
      <c r="G18" s="70"/>
    </row>
    <row r="19" customFormat="false" ht="12.8" hidden="false" customHeight="false" outlineLevel="0" collapsed="false">
      <c r="A19" s="55"/>
      <c r="B19" s="56"/>
      <c r="C19" s="56"/>
      <c r="D19" s="57"/>
      <c r="E19" s="56"/>
      <c r="F19" s="56"/>
      <c r="G19" s="58"/>
    </row>
    <row r="20" customFormat="false" ht="12.8" hidden="false" customHeight="true" outlineLevel="0" collapsed="false">
      <c r="A20" s="47"/>
      <c r="B20" s="19"/>
      <c r="C20" s="48"/>
      <c r="D20" s="59" t="s">
        <v>426</v>
      </c>
      <c r="E20" s="59"/>
      <c r="F20" s="50" t="e">
        <f aca="false">AVERAGE(F14:F18)</f>
        <v>#DIV/0!</v>
      </c>
      <c r="G20" s="51"/>
    </row>
    <row r="21" customFormat="false" ht="12.8" hidden="false" customHeight="false" outlineLevel="0" collapsed="false">
      <c r="A21" s="43"/>
      <c r="B21" s="44"/>
      <c r="C21" s="44"/>
      <c r="D21" s="60"/>
      <c r="E21" s="44"/>
      <c r="F21" s="44"/>
      <c r="G21" s="46"/>
    </row>
    <row r="22" customFormat="false" ht="36.85" hidden="false" customHeight="false" outlineLevel="0" collapsed="false">
      <c r="A22" s="61" t="s">
        <v>133</v>
      </c>
      <c r="B22" s="62" t="s">
        <v>427</v>
      </c>
      <c r="C22" s="62" t="s">
        <v>148</v>
      </c>
      <c r="D22" s="62" t="s">
        <v>428</v>
      </c>
      <c r="E22" s="62" t="s">
        <v>429</v>
      </c>
      <c r="F22" s="63"/>
      <c r="G22" s="64"/>
    </row>
    <row r="23" customFormat="false" ht="25.15" hidden="false" customHeight="false" outlineLevel="0" collapsed="false">
      <c r="A23" s="65" t="s">
        <v>133</v>
      </c>
      <c r="B23" s="4" t="s">
        <v>427</v>
      </c>
      <c r="C23" s="4" t="s">
        <v>151</v>
      </c>
      <c r="D23" s="4" t="s">
        <v>430</v>
      </c>
      <c r="E23" s="4" t="s">
        <v>431</v>
      </c>
      <c r="F23" s="42"/>
      <c r="G23" s="66"/>
    </row>
    <row r="24" customFormat="false" ht="25.15" hidden="false" customHeight="false" outlineLevel="0" collapsed="false">
      <c r="A24" s="65" t="s">
        <v>133</v>
      </c>
      <c r="B24" s="4" t="s">
        <v>427</v>
      </c>
      <c r="C24" s="4" t="s">
        <v>154</v>
      </c>
      <c r="D24" s="4" t="s">
        <v>432</v>
      </c>
      <c r="E24" s="4" t="s">
        <v>433</v>
      </c>
      <c r="F24" s="42"/>
      <c r="G24" s="66"/>
    </row>
    <row r="25" customFormat="false" ht="25.15" hidden="false" customHeight="false" outlineLevel="0" collapsed="false">
      <c r="A25" s="65" t="s">
        <v>133</v>
      </c>
      <c r="B25" s="4" t="s">
        <v>427</v>
      </c>
      <c r="C25" s="4" t="s">
        <v>157</v>
      </c>
      <c r="D25" s="4" t="s">
        <v>434</v>
      </c>
      <c r="E25" s="4" t="s">
        <v>435</v>
      </c>
      <c r="F25" s="42"/>
      <c r="G25" s="66"/>
    </row>
    <row r="26" customFormat="false" ht="25.15" hidden="false" customHeight="false" outlineLevel="0" collapsed="false">
      <c r="A26" s="67" t="s">
        <v>133</v>
      </c>
      <c r="B26" s="68" t="s">
        <v>427</v>
      </c>
      <c r="C26" s="68" t="s">
        <v>160</v>
      </c>
      <c r="D26" s="68" t="s">
        <v>436</v>
      </c>
      <c r="E26" s="68" t="s">
        <v>437</v>
      </c>
      <c r="F26" s="69"/>
      <c r="G26" s="70"/>
    </row>
    <row r="27" customFormat="false" ht="12.8" hidden="false" customHeight="false" outlineLevel="0" collapsed="false">
      <c r="A27" s="55"/>
      <c r="B27" s="56"/>
      <c r="C27" s="56"/>
      <c r="D27" s="57"/>
      <c r="E27" s="56"/>
      <c r="F27" s="56"/>
      <c r="G27" s="58"/>
    </row>
    <row r="28" customFormat="false" ht="12.8" hidden="false" customHeight="true" outlineLevel="0" collapsed="false">
      <c r="A28" s="47"/>
      <c r="B28" s="19"/>
      <c r="C28" s="48"/>
      <c r="D28" s="59" t="s">
        <v>438</v>
      </c>
      <c r="E28" s="59"/>
      <c r="F28" s="50" t="e">
        <f aca="false">AVERAGE(F22:F26)</f>
        <v>#DIV/0!</v>
      </c>
      <c r="G28" s="51"/>
    </row>
    <row r="29" customFormat="false" ht="12.8" hidden="false" customHeight="false" outlineLevel="0" collapsed="false">
      <c r="A29" s="43"/>
      <c r="B29" s="44"/>
      <c r="C29" s="44"/>
      <c r="D29" s="60"/>
      <c r="E29" s="44"/>
      <c r="F29" s="44"/>
      <c r="G29" s="46"/>
    </row>
    <row r="30" customFormat="false" ht="60.35" hidden="false" customHeight="false" outlineLevel="0" collapsed="false">
      <c r="A30" s="61" t="s">
        <v>133</v>
      </c>
      <c r="B30" s="62" t="s">
        <v>439</v>
      </c>
      <c r="C30" s="62" t="s">
        <v>148</v>
      </c>
      <c r="D30" s="62" t="s">
        <v>440</v>
      </c>
      <c r="E30" s="62" t="s">
        <v>441</v>
      </c>
      <c r="F30" s="63"/>
      <c r="G30" s="64"/>
    </row>
    <row r="31" customFormat="false" ht="25.15" hidden="false" customHeight="false" outlineLevel="0" collapsed="false">
      <c r="A31" s="65" t="s">
        <v>133</v>
      </c>
      <c r="B31" s="4" t="s">
        <v>439</v>
      </c>
      <c r="C31" s="4" t="s">
        <v>151</v>
      </c>
      <c r="D31" s="4" t="s">
        <v>442</v>
      </c>
      <c r="E31" s="4" t="s">
        <v>443</v>
      </c>
      <c r="F31" s="42"/>
      <c r="G31" s="66"/>
    </row>
    <row r="32" customFormat="false" ht="25.15" hidden="false" customHeight="false" outlineLevel="0" collapsed="false">
      <c r="A32" s="65" t="s">
        <v>133</v>
      </c>
      <c r="B32" s="4" t="s">
        <v>439</v>
      </c>
      <c r="C32" s="4" t="s">
        <v>154</v>
      </c>
      <c r="D32" s="4" t="s">
        <v>444</v>
      </c>
      <c r="E32" s="4" t="s">
        <v>445</v>
      </c>
      <c r="F32" s="42"/>
      <c r="G32" s="66"/>
    </row>
    <row r="33" customFormat="false" ht="25.15" hidden="false" customHeight="false" outlineLevel="0" collapsed="false">
      <c r="A33" s="65" t="s">
        <v>133</v>
      </c>
      <c r="B33" s="4" t="s">
        <v>439</v>
      </c>
      <c r="C33" s="4" t="s">
        <v>157</v>
      </c>
      <c r="D33" s="4" t="s">
        <v>446</v>
      </c>
      <c r="E33" s="4" t="s">
        <v>447</v>
      </c>
      <c r="F33" s="42"/>
      <c r="G33" s="66"/>
    </row>
    <row r="34" customFormat="false" ht="25.15" hidden="false" customHeight="false" outlineLevel="0" collapsed="false">
      <c r="A34" s="67" t="s">
        <v>133</v>
      </c>
      <c r="B34" s="68" t="s">
        <v>439</v>
      </c>
      <c r="C34" s="68" t="s">
        <v>160</v>
      </c>
      <c r="D34" s="68" t="s">
        <v>448</v>
      </c>
      <c r="E34" s="68" t="s">
        <v>449</v>
      </c>
      <c r="F34" s="69"/>
      <c r="G34" s="70"/>
    </row>
    <row r="35" customFormat="false" ht="12.8" hidden="false" customHeight="false" outlineLevel="0" collapsed="false">
      <c r="A35" s="55"/>
      <c r="B35" s="56"/>
      <c r="C35" s="56"/>
      <c r="D35" s="57"/>
      <c r="E35" s="56"/>
      <c r="F35" s="56"/>
      <c r="G35" s="58"/>
    </row>
    <row r="36" customFormat="false" ht="12.8" hidden="false" customHeight="true" outlineLevel="0" collapsed="false">
      <c r="A36" s="47"/>
      <c r="B36" s="19"/>
      <c r="C36" s="48"/>
      <c r="D36" s="59" t="s">
        <v>450</v>
      </c>
      <c r="E36" s="59"/>
      <c r="F36" s="50" t="e">
        <f aca="false">AVERAGE(F30:F34)</f>
        <v>#DIV/0!</v>
      </c>
      <c r="G36" s="51"/>
    </row>
    <row r="37" customFormat="false" ht="12.8" hidden="false" customHeight="false" outlineLevel="0" collapsed="false">
      <c r="A37" s="43"/>
      <c r="B37" s="44"/>
      <c r="C37" s="44"/>
      <c r="D37" s="60"/>
      <c r="E37" s="44"/>
      <c r="F37" s="44"/>
      <c r="G37" s="46"/>
    </row>
    <row r="38" customFormat="false" ht="48.6" hidden="false" customHeight="false" outlineLevel="0" collapsed="false">
      <c r="A38" s="61" t="s">
        <v>133</v>
      </c>
      <c r="B38" s="62" t="s">
        <v>451</v>
      </c>
      <c r="C38" s="62" t="s">
        <v>148</v>
      </c>
      <c r="D38" s="62" t="s">
        <v>452</v>
      </c>
      <c r="E38" s="62" t="s">
        <v>453</v>
      </c>
      <c r="F38" s="63"/>
      <c r="G38" s="64"/>
    </row>
    <row r="39" customFormat="false" ht="36.85" hidden="false" customHeight="false" outlineLevel="0" collapsed="false">
      <c r="A39" s="65" t="s">
        <v>133</v>
      </c>
      <c r="B39" s="4" t="s">
        <v>451</v>
      </c>
      <c r="C39" s="4" t="s">
        <v>151</v>
      </c>
      <c r="D39" s="4" t="s">
        <v>454</v>
      </c>
      <c r="E39" s="4" t="s">
        <v>455</v>
      </c>
      <c r="F39" s="42"/>
      <c r="G39" s="66"/>
    </row>
    <row r="40" customFormat="false" ht="36.85" hidden="false" customHeight="false" outlineLevel="0" collapsed="false">
      <c r="A40" s="65" t="s">
        <v>133</v>
      </c>
      <c r="B40" s="4" t="s">
        <v>451</v>
      </c>
      <c r="C40" s="4" t="s">
        <v>154</v>
      </c>
      <c r="D40" s="4" t="s">
        <v>456</v>
      </c>
      <c r="E40" s="4" t="s">
        <v>457</v>
      </c>
      <c r="F40" s="42"/>
      <c r="G40" s="66"/>
    </row>
    <row r="41" customFormat="false" ht="36.85" hidden="false" customHeight="false" outlineLevel="0" collapsed="false">
      <c r="A41" s="65" t="s">
        <v>133</v>
      </c>
      <c r="B41" s="4" t="s">
        <v>451</v>
      </c>
      <c r="C41" s="4" t="s">
        <v>157</v>
      </c>
      <c r="D41" s="4" t="s">
        <v>458</v>
      </c>
      <c r="E41" s="4" t="s">
        <v>459</v>
      </c>
      <c r="F41" s="42"/>
      <c r="G41" s="66"/>
    </row>
    <row r="42" customFormat="false" ht="36.85" hidden="false" customHeight="false" outlineLevel="0" collapsed="false">
      <c r="A42" s="67" t="s">
        <v>133</v>
      </c>
      <c r="B42" s="68" t="s">
        <v>451</v>
      </c>
      <c r="C42" s="68" t="s">
        <v>160</v>
      </c>
      <c r="D42" s="68" t="s">
        <v>460</v>
      </c>
      <c r="E42" s="68" t="s">
        <v>461</v>
      </c>
      <c r="F42" s="69"/>
      <c r="G42" s="70"/>
    </row>
    <row r="43" customFormat="false" ht="12.8" hidden="false" customHeight="false" outlineLevel="0" collapsed="false">
      <c r="A43" s="55"/>
      <c r="B43" s="56"/>
      <c r="C43" s="56"/>
      <c r="D43" s="57"/>
      <c r="E43" s="56"/>
      <c r="F43" s="56"/>
      <c r="G43" s="58"/>
    </row>
    <row r="44" customFormat="false" ht="16.75" hidden="false" customHeight="true" outlineLevel="0" collapsed="false">
      <c r="A44" s="47"/>
      <c r="B44" s="19"/>
      <c r="C44" s="48"/>
      <c r="D44" s="59" t="s">
        <v>462</v>
      </c>
      <c r="E44" s="59"/>
      <c r="F44" s="50" t="e">
        <f aca="false">AVERAGE(F38:F42)</f>
        <v>#DIV/0!</v>
      </c>
      <c r="G44" s="51"/>
    </row>
    <row r="45" s="33" customFormat="true" ht="12.8" hidden="false" customHeight="false" outlineLevel="0" collapsed="false">
      <c r="A45" s="43"/>
      <c r="B45" s="44"/>
      <c r="C45" s="44"/>
      <c r="D45" s="60"/>
      <c r="E45" s="44"/>
      <c r="F45" s="44"/>
      <c r="G45" s="46"/>
    </row>
  </sheetData>
  <mergeCells count="6">
    <mergeCell ref="A1:G4"/>
    <mergeCell ref="D12:E12"/>
    <mergeCell ref="D20:E20"/>
    <mergeCell ref="D28:E28"/>
    <mergeCell ref="D36:E36"/>
    <mergeCell ref="D44:E44"/>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20" activeCellId="0" sqref="F20"/>
    </sheetView>
  </sheetViews>
  <sheetFormatPr defaultColWidth="11.53515625" defaultRowHeight="12.8" zeroHeight="false" outlineLevelRow="0" outlineLevelCol="0"/>
  <cols>
    <col collapsed="false" customWidth="true" hidden="false" outlineLevel="0" max="4" min="4" style="0" width="19.87"/>
    <col collapsed="false" customWidth="true" hidden="false" outlineLevel="0" max="5" min="5" style="0" width="14.34"/>
    <col collapsed="false" customWidth="true" hidden="false" outlineLevel="0" max="7" min="7" style="0" width="18.23"/>
  </cols>
  <sheetData>
    <row r="1" customFormat="false" ht="12.8" hidden="false" customHeight="false" outlineLevel="0" collapsed="false">
      <c r="A1" s="34" t="s">
        <v>134</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41.05" hidden="false" customHeight="true" outlineLevel="0" collapsed="false">
      <c r="A6" s="38" t="s">
        <v>134</v>
      </c>
      <c r="B6" s="4" t="s">
        <v>463</v>
      </c>
      <c r="C6" s="4" t="s">
        <v>148</v>
      </c>
      <c r="D6" s="4" t="s">
        <v>464</v>
      </c>
      <c r="E6" s="4" t="s">
        <v>465</v>
      </c>
      <c r="F6" s="42"/>
      <c r="G6" s="41"/>
    </row>
    <row r="7" customFormat="false" ht="44.4" hidden="false" customHeight="true" outlineLevel="0" collapsed="false">
      <c r="A7" s="38" t="s">
        <v>134</v>
      </c>
      <c r="B7" s="4" t="s">
        <v>463</v>
      </c>
      <c r="C7" s="4" t="s">
        <v>151</v>
      </c>
      <c r="D7" s="4" t="s">
        <v>466</v>
      </c>
      <c r="E7" s="4" t="s">
        <v>467</v>
      </c>
      <c r="F7" s="42"/>
      <c r="G7" s="41"/>
    </row>
    <row r="8" customFormat="false" ht="25.15" hidden="false" customHeight="false" outlineLevel="0" collapsed="false">
      <c r="A8" s="38" t="s">
        <v>134</v>
      </c>
      <c r="B8" s="4" t="s">
        <v>463</v>
      </c>
      <c r="C8" s="4" t="s">
        <v>154</v>
      </c>
      <c r="D8" s="4" t="s">
        <v>468</v>
      </c>
      <c r="E8" s="4" t="s">
        <v>469</v>
      </c>
      <c r="F8" s="42"/>
      <c r="G8" s="41"/>
    </row>
    <row r="9" customFormat="false" ht="31" hidden="false" customHeight="true" outlineLevel="0" collapsed="false">
      <c r="A9" s="38" t="s">
        <v>134</v>
      </c>
      <c r="B9" s="4" t="s">
        <v>463</v>
      </c>
      <c r="C9" s="4" t="s">
        <v>157</v>
      </c>
      <c r="D9" s="4" t="s">
        <v>470</v>
      </c>
      <c r="E9" s="4" t="s">
        <v>471</v>
      </c>
      <c r="F9" s="42"/>
      <c r="G9" s="41"/>
    </row>
    <row r="10" customFormat="false" ht="28.5" hidden="false" customHeight="true" outlineLevel="0" collapsed="false">
      <c r="A10" s="38" t="s">
        <v>134</v>
      </c>
      <c r="B10" s="4" t="s">
        <v>463</v>
      </c>
      <c r="C10" s="4" t="s">
        <v>160</v>
      </c>
      <c r="D10" s="4" t="s">
        <v>472</v>
      </c>
      <c r="E10" s="4" t="s">
        <v>473</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474</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45.25" hidden="false" customHeight="true" outlineLevel="0" collapsed="false">
      <c r="A14" s="52" t="s">
        <v>134</v>
      </c>
      <c r="B14" s="53" t="s">
        <v>475</v>
      </c>
      <c r="C14" s="53" t="s">
        <v>148</v>
      </c>
      <c r="D14" s="53" t="s">
        <v>476</v>
      </c>
      <c r="E14" s="53" t="s">
        <v>477</v>
      </c>
      <c r="F14" s="42"/>
      <c r="G14" s="54"/>
    </row>
    <row r="15" customFormat="false" ht="33.5" hidden="false" customHeight="true" outlineLevel="0" collapsed="false">
      <c r="A15" s="38" t="s">
        <v>134</v>
      </c>
      <c r="B15" s="4" t="s">
        <v>475</v>
      </c>
      <c r="C15" s="4" t="s">
        <v>151</v>
      </c>
      <c r="D15" s="4" t="s">
        <v>478</v>
      </c>
      <c r="E15" s="4" t="s">
        <v>479</v>
      </c>
      <c r="F15" s="42"/>
      <c r="G15" s="41"/>
    </row>
    <row r="16" customFormat="false" ht="41.05" hidden="false" customHeight="true" outlineLevel="0" collapsed="false">
      <c r="A16" s="38" t="s">
        <v>134</v>
      </c>
      <c r="B16" s="4" t="s">
        <v>475</v>
      </c>
      <c r="C16" s="4" t="s">
        <v>154</v>
      </c>
      <c r="D16" s="4" t="s">
        <v>480</v>
      </c>
      <c r="E16" s="4" t="s">
        <v>481</v>
      </c>
      <c r="F16" s="42"/>
      <c r="G16" s="41"/>
    </row>
    <row r="17" customFormat="false" ht="38.55" hidden="false" customHeight="true" outlineLevel="0" collapsed="false">
      <c r="A17" s="38" t="s">
        <v>134</v>
      </c>
      <c r="B17" s="4" t="s">
        <v>475</v>
      </c>
      <c r="C17" s="4" t="s">
        <v>157</v>
      </c>
      <c r="D17" s="4" t="s">
        <v>482</v>
      </c>
      <c r="E17" s="4" t="s">
        <v>483</v>
      </c>
      <c r="F17" s="42"/>
      <c r="G17" s="41"/>
    </row>
    <row r="18" customFormat="false" ht="25.15" hidden="false" customHeight="false" outlineLevel="0" collapsed="false">
      <c r="A18" s="38" t="s">
        <v>134</v>
      </c>
      <c r="B18" s="4" t="s">
        <v>475</v>
      </c>
      <c r="C18" s="4" t="s">
        <v>160</v>
      </c>
      <c r="D18" s="4" t="s">
        <v>484</v>
      </c>
      <c r="E18" s="4" t="s">
        <v>485</v>
      </c>
      <c r="F18" s="42"/>
      <c r="G18" s="41"/>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486</v>
      </c>
      <c r="E20" s="59"/>
      <c r="F20" s="50" t="e">
        <f aca="false">AVERAGE(F14:F18)</f>
        <v>#DIV/0!</v>
      </c>
      <c r="G20" s="51"/>
    </row>
    <row r="21" s="33" customFormat="true" ht="12.8" hidden="false" customHeight="false" outlineLevel="0" collapsed="false">
      <c r="A21" s="43"/>
      <c r="B21" s="44"/>
      <c r="C21" s="44"/>
      <c r="D21" s="60"/>
      <c r="E21" s="44"/>
      <c r="F21" s="44"/>
      <c r="G21" s="46"/>
    </row>
  </sheetData>
  <mergeCells count="3">
    <mergeCell ref="A1:G4"/>
    <mergeCell ref="D12:E12"/>
    <mergeCell ref="D20:E2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2" colorId="64" zoomScale="67" zoomScaleNormal="67" zoomScalePageLayoutView="100" workbookViewId="0">
      <selection pane="topLeft" activeCell="F28" activeCellId="0" sqref="F28"/>
    </sheetView>
  </sheetViews>
  <sheetFormatPr defaultColWidth="11.53515625" defaultRowHeight="12.8" zeroHeight="false" outlineLevelRow="0" outlineLevelCol="0"/>
  <cols>
    <col collapsed="false" customWidth="true" hidden="false" outlineLevel="0" max="4" min="4" style="0" width="20.48"/>
    <col collapsed="false" customWidth="true" hidden="false" outlineLevel="0" max="5" min="5" style="0" width="17.63"/>
    <col collapsed="false" customWidth="true" hidden="false" outlineLevel="0" max="7" min="7" style="0" width="24.21"/>
  </cols>
  <sheetData>
    <row r="1" customFormat="false" ht="12.8" hidden="false" customHeight="false" outlineLevel="0" collapsed="false">
      <c r="A1" s="34" t="s">
        <v>135</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5.3" hidden="false" customHeight="true" outlineLevel="0" collapsed="false">
      <c r="A6" s="52" t="s">
        <v>135</v>
      </c>
      <c r="B6" s="53" t="s">
        <v>487</v>
      </c>
      <c r="C6" s="53" t="s">
        <v>148</v>
      </c>
      <c r="D6" s="53" t="s">
        <v>488</v>
      </c>
      <c r="E6" s="53" t="s">
        <v>489</v>
      </c>
      <c r="F6" s="71"/>
      <c r="G6" s="54"/>
    </row>
    <row r="7" customFormat="false" ht="47.75" hidden="false" customHeight="true" outlineLevel="0" collapsed="false">
      <c r="A7" s="38" t="s">
        <v>135</v>
      </c>
      <c r="B7" s="4" t="s">
        <v>487</v>
      </c>
      <c r="C7" s="4" t="s">
        <v>151</v>
      </c>
      <c r="D7" s="4" t="s">
        <v>490</v>
      </c>
      <c r="E7" s="4" t="s">
        <v>491</v>
      </c>
      <c r="F7" s="42"/>
      <c r="G7" s="41"/>
    </row>
    <row r="8" customFormat="false" ht="38.55" hidden="false" customHeight="true" outlineLevel="0" collapsed="false">
      <c r="A8" s="38" t="s">
        <v>135</v>
      </c>
      <c r="B8" s="4" t="s">
        <v>487</v>
      </c>
      <c r="C8" s="4" t="s">
        <v>154</v>
      </c>
      <c r="D8" s="4" t="s">
        <v>492</v>
      </c>
      <c r="E8" s="4" t="s">
        <v>493</v>
      </c>
      <c r="F8" s="42"/>
      <c r="G8" s="41"/>
    </row>
    <row r="9" customFormat="false" ht="36.05" hidden="false" customHeight="true" outlineLevel="0" collapsed="false">
      <c r="A9" s="38" t="s">
        <v>135</v>
      </c>
      <c r="B9" s="4" t="s">
        <v>487</v>
      </c>
      <c r="C9" s="4" t="s">
        <v>157</v>
      </c>
      <c r="D9" s="4" t="s">
        <v>494</v>
      </c>
      <c r="E9" s="4" t="s">
        <v>495</v>
      </c>
      <c r="F9" s="42"/>
      <c r="G9" s="41"/>
    </row>
    <row r="10" customFormat="false" ht="33.5" hidden="false" customHeight="true" outlineLevel="0" collapsed="false">
      <c r="A10" s="38" t="s">
        <v>135</v>
      </c>
      <c r="B10" s="4" t="s">
        <v>487</v>
      </c>
      <c r="C10" s="4" t="s">
        <v>160</v>
      </c>
      <c r="D10" s="4" t="s">
        <v>496</v>
      </c>
      <c r="E10" s="4" t="s">
        <v>497</v>
      </c>
      <c r="F10" s="42"/>
      <c r="G10" s="41"/>
    </row>
    <row r="11" customFormat="false" ht="12.8" hidden="false" customHeight="false" outlineLevel="0" collapsed="false">
      <c r="A11" s="55"/>
      <c r="B11" s="56"/>
      <c r="C11" s="56"/>
      <c r="D11" s="57"/>
      <c r="E11" s="56"/>
      <c r="F11" s="56"/>
      <c r="G11" s="58"/>
    </row>
    <row r="12" customFormat="false" ht="12.8" hidden="false" customHeight="true" outlineLevel="0" collapsed="false">
      <c r="A12" s="47"/>
      <c r="B12" s="19"/>
      <c r="C12" s="48"/>
      <c r="D12" s="59" t="s">
        <v>498</v>
      </c>
      <c r="E12" s="59"/>
      <c r="F12" s="50" t="e">
        <f aca="false">AVERAGE(F6:F10)</f>
        <v>#DIV/0!</v>
      </c>
      <c r="G12" s="51"/>
    </row>
    <row r="13" customFormat="false" ht="12.8" hidden="false" customHeight="false" outlineLevel="0" collapsed="false">
      <c r="A13" s="43"/>
      <c r="B13" s="44"/>
      <c r="C13" s="44"/>
      <c r="D13" s="60"/>
      <c r="E13" s="44"/>
      <c r="F13" s="44"/>
      <c r="G13" s="46"/>
    </row>
    <row r="14" customFormat="false" ht="48.6" hidden="false" customHeight="false" outlineLevel="0" collapsed="false">
      <c r="A14" s="52" t="s">
        <v>135</v>
      </c>
      <c r="B14" s="53" t="s">
        <v>499</v>
      </c>
      <c r="C14" s="53" t="s">
        <v>148</v>
      </c>
      <c r="D14" s="53" t="s">
        <v>500</v>
      </c>
      <c r="E14" s="53" t="s">
        <v>501</v>
      </c>
      <c r="F14" s="71"/>
      <c r="G14" s="54"/>
    </row>
    <row r="15" customFormat="false" ht="25.15" hidden="false" customHeight="false" outlineLevel="0" collapsed="false">
      <c r="A15" s="38" t="s">
        <v>135</v>
      </c>
      <c r="B15" s="4" t="s">
        <v>499</v>
      </c>
      <c r="C15" s="4" t="s">
        <v>151</v>
      </c>
      <c r="D15" s="4" t="s">
        <v>502</v>
      </c>
      <c r="E15" s="4" t="s">
        <v>503</v>
      </c>
      <c r="F15" s="42"/>
      <c r="G15" s="41"/>
    </row>
    <row r="16" customFormat="false" ht="25.15" hidden="false" customHeight="false" outlineLevel="0" collapsed="false">
      <c r="A16" s="38" t="s">
        <v>135</v>
      </c>
      <c r="B16" s="4" t="s">
        <v>499</v>
      </c>
      <c r="C16" s="4" t="s">
        <v>154</v>
      </c>
      <c r="D16" s="4" t="s">
        <v>504</v>
      </c>
      <c r="E16" s="4" t="s">
        <v>505</v>
      </c>
      <c r="F16" s="42"/>
      <c r="G16" s="41"/>
    </row>
    <row r="17" customFormat="false" ht="25.15" hidden="false" customHeight="false" outlineLevel="0" collapsed="false">
      <c r="A17" s="38" t="s">
        <v>135</v>
      </c>
      <c r="B17" s="4" t="s">
        <v>499</v>
      </c>
      <c r="C17" s="4" t="s">
        <v>157</v>
      </c>
      <c r="D17" s="4" t="s">
        <v>506</v>
      </c>
      <c r="E17" s="4" t="s">
        <v>507</v>
      </c>
      <c r="F17" s="42"/>
      <c r="G17" s="41"/>
    </row>
    <row r="18" customFormat="false" ht="25.15" hidden="false" customHeight="false" outlineLevel="0" collapsed="false">
      <c r="A18" s="38" t="s">
        <v>135</v>
      </c>
      <c r="B18" s="4" t="s">
        <v>499</v>
      </c>
      <c r="C18" s="4" t="s">
        <v>160</v>
      </c>
      <c r="D18" s="4" t="s">
        <v>508</v>
      </c>
      <c r="E18" s="4" t="s">
        <v>509</v>
      </c>
      <c r="F18" s="42"/>
      <c r="G18" s="41"/>
    </row>
    <row r="19" customFormat="false" ht="12.8" hidden="false" customHeight="false" outlineLevel="0" collapsed="false">
      <c r="A19" s="55"/>
      <c r="B19" s="56"/>
      <c r="C19" s="56"/>
      <c r="D19" s="57"/>
      <c r="E19" s="56"/>
      <c r="F19" s="56"/>
      <c r="G19" s="58"/>
    </row>
    <row r="20" customFormat="false" ht="12.8" hidden="false" customHeight="true" outlineLevel="0" collapsed="false">
      <c r="A20" s="47"/>
      <c r="B20" s="19"/>
      <c r="C20" s="48"/>
      <c r="D20" s="59" t="s">
        <v>510</v>
      </c>
      <c r="E20" s="59"/>
      <c r="F20" s="50" t="e">
        <f aca="false">AVERAGE(F14:F18)</f>
        <v>#DIV/0!</v>
      </c>
      <c r="G20" s="51"/>
    </row>
    <row r="21" customFormat="false" ht="12.8" hidden="false" customHeight="false" outlineLevel="0" collapsed="false">
      <c r="A21" s="43"/>
      <c r="B21" s="44"/>
      <c r="C21" s="44"/>
      <c r="D21" s="60"/>
      <c r="E21" s="44"/>
      <c r="F21" s="44"/>
      <c r="G21" s="46"/>
    </row>
    <row r="22" customFormat="false" ht="36.85" hidden="false" customHeight="false" outlineLevel="0" collapsed="false">
      <c r="A22" s="52" t="s">
        <v>135</v>
      </c>
      <c r="B22" s="53" t="s">
        <v>511</v>
      </c>
      <c r="C22" s="53" t="s">
        <v>148</v>
      </c>
      <c r="D22" s="53" t="s">
        <v>512</v>
      </c>
      <c r="E22" s="53" t="s">
        <v>513</v>
      </c>
      <c r="F22" s="71"/>
      <c r="G22" s="54"/>
    </row>
    <row r="23" customFormat="false" ht="25.15" hidden="false" customHeight="false" outlineLevel="0" collapsed="false">
      <c r="A23" s="38" t="s">
        <v>135</v>
      </c>
      <c r="B23" s="4" t="s">
        <v>511</v>
      </c>
      <c r="C23" s="4" t="s">
        <v>151</v>
      </c>
      <c r="D23" s="4" t="s">
        <v>514</v>
      </c>
      <c r="E23" s="4" t="s">
        <v>515</v>
      </c>
      <c r="F23" s="42"/>
      <c r="G23" s="41"/>
    </row>
    <row r="24" customFormat="false" ht="25.15" hidden="false" customHeight="false" outlineLevel="0" collapsed="false">
      <c r="A24" s="38" t="s">
        <v>135</v>
      </c>
      <c r="B24" s="4" t="s">
        <v>511</v>
      </c>
      <c r="C24" s="4" t="s">
        <v>154</v>
      </c>
      <c r="D24" s="4" t="s">
        <v>516</v>
      </c>
      <c r="E24" s="4" t="s">
        <v>517</v>
      </c>
      <c r="F24" s="42"/>
      <c r="G24" s="41"/>
    </row>
    <row r="25" customFormat="false" ht="25.15" hidden="false" customHeight="false" outlineLevel="0" collapsed="false">
      <c r="A25" s="38" t="s">
        <v>135</v>
      </c>
      <c r="B25" s="4" t="s">
        <v>511</v>
      </c>
      <c r="C25" s="4" t="s">
        <v>157</v>
      </c>
      <c r="D25" s="4" t="s">
        <v>518</v>
      </c>
      <c r="E25" s="4" t="s">
        <v>519</v>
      </c>
      <c r="F25" s="42"/>
      <c r="G25" s="41"/>
    </row>
    <row r="26" customFormat="false" ht="25.15" hidden="false" customHeight="false" outlineLevel="0" collapsed="false">
      <c r="A26" s="38" t="s">
        <v>135</v>
      </c>
      <c r="B26" s="4" t="s">
        <v>511</v>
      </c>
      <c r="C26" s="4" t="s">
        <v>160</v>
      </c>
      <c r="D26" s="4" t="s">
        <v>520</v>
      </c>
      <c r="E26" s="4" t="s">
        <v>521</v>
      </c>
      <c r="F26" s="42"/>
      <c r="G26" s="41"/>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522</v>
      </c>
      <c r="E28" s="59"/>
      <c r="F28" s="50" t="s">
        <v>523</v>
      </c>
      <c r="G28" s="51"/>
    </row>
    <row r="29" s="33" customFormat="true" ht="12.8" hidden="false" customHeight="false" outlineLevel="0" collapsed="false">
      <c r="A29" s="43"/>
      <c r="B29" s="44"/>
      <c r="C29" s="44"/>
      <c r="D29" s="60"/>
      <c r="E29" s="44"/>
      <c r="F29" s="44"/>
      <c r="G29" s="46"/>
    </row>
  </sheetData>
  <mergeCells count="4">
    <mergeCell ref="A1:G4"/>
    <mergeCell ref="D12:E12"/>
    <mergeCell ref="D20:E20"/>
    <mergeCell ref="D28:E2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7" colorId="64" zoomScale="67" zoomScaleNormal="67" zoomScalePageLayoutView="100" workbookViewId="0">
      <selection pane="topLeft" activeCell="F36" activeCellId="0" sqref="F36"/>
    </sheetView>
  </sheetViews>
  <sheetFormatPr defaultColWidth="11.53515625" defaultRowHeight="12.8" zeroHeight="false" outlineLevelRow="0" outlineLevelCol="0"/>
  <cols>
    <col collapsed="false" customWidth="true" hidden="false" outlineLevel="0" max="4" min="4" style="0" width="20.03"/>
    <col collapsed="false" customWidth="true" hidden="false" outlineLevel="0" max="5" min="5" style="0" width="13.9"/>
    <col collapsed="false" customWidth="true" hidden="false" outlineLevel="0" max="7" min="7" style="0" width="23.77"/>
  </cols>
  <sheetData>
    <row r="1" customFormat="false" ht="12.8" hidden="false" customHeight="false" outlineLevel="0" collapsed="false">
      <c r="A1" s="34" t="s">
        <v>136</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49.45" hidden="false" customHeight="true" outlineLevel="0" collapsed="false">
      <c r="A6" s="38" t="s">
        <v>136</v>
      </c>
      <c r="B6" s="4" t="s">
        <v>524</v>
      </c>
      <c r="C6" s="4" t="s">
        <v>148</v>
      </c>
      <c r="D6" s="4" t="s">
        <v>525</v>
      </c>
      <c r="E6" s="4" t="s">
        <v>526</v>
      </c>
      <c r="F6" s="71"/>
      <c r="G6" s="41"/>
    </row>
    <row r="7" customFormat="false" ht="41.05" hidden="false" customHeight="true" outlineLevel="0" collapsed="false">
      <c r="A7" s="38" t="s">
        <v>136</v>
      </c>
      <c r="B7" s="4" t="s">
        <v>524</v>
      </c>
      <c r="C7" s="4" t="s">
        <v>151</v>
      </c>
      <c r="D7" s="4" t="s">
        <v>527</v>
      </c>
      <c r="E7" s="4" t="s">
        <v>528</v>
      </c>
      <c r="F7" s="42"/>
      <c r="G7" s="41"/>
    </row>
    <row r="8" customFormat="false" ht="28.5" hidden="false" customHeight="true" outlineLevel="0" collapsed="false">
      <c r="A8" s="38" t="s">
        <v>136</v>
      </c>
      <c r="B8" s="4" t="s">
        <v>524</v>
      </c>
      <c r="C8" s="4" t="s">
        <v>154</v>
      </c>
      <c r="D8" s="4" t="s">
        <v>529</v>
      </c>
      <c r="E8" s="4" t="s">
        <v>530</v>
      </c>
      <c r="F8" s="42"/>
      <c r="G8" s="41"/>
    </row>
    <row r="9" customFormat="false" ht="36.85" hidden="false" customHeight="true" outlineLevel="0" collapsed="false">
      <c r="A9" s="38" t="s">
        <v>136</v>
      </c>
      <c r="B9" s="4" t="s">
        <v>524</v>
      </c>
      <c r="C9" s="4" t="s">
        <v>157</v>
      </c>
      <c r="D9" s="4" t="s">
        <v>531</v>
      </c>
      <c r="E9" s="4" t="s">
        <v>532</v>
      </c>
      <c r="F9" s="42"/>
      <c r="G9" s="41"/>
    </row>
    <row r="10" customFormat="false" ht="36.85" hidden="false" customHeight="false" outlineLevel="0" collapsed="false">
      <c r="A10" s="38" t="s">
        <v>136</v>
      </c>
      <c r="B10" s="4" t="s">
        <v>524</v>
      </c>
      <c r="C10" s="4" t="s">
        <v>160</v>
      </c>
      <c r="D10" s="4" t="s">
        <v>533</v>
      </c>
      <c r="E10" s="4" t="s">
        <v>534</v>
      </c>
      <c r="F10" s="42"/>
      <c r="G10" s="41"/>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535</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36.85" hidden="false" customHeight="false" outlineLevel="0" collapsed="false">
      <c r="A14" s="52" t="s">
        <v>136</v>
      </c>
      <c r="B14" s="53" t="s">
        <v>536</v>
      </c>
      <c r="C14" s="53" t="s">
        <v>148</v>
      </c>
      <c r="D14" s="53" t="s">
        <v>537</v>
      </c>
      <c r="E14" s="53" t="s">
        <v>538</v>
      </c>
      <c r="F14" s="71"/>
      <c r="G14" s="54"/>
    </row>
    <row r="15" customFormat="false" ht="36.85" hidden="false" customHeight="false" outlineLevel="0" collapsed="false">
      <c r="A15" s="38" t="s">
        <v>136</v>
      </c>
      <c r="B15" s="4" t="s">
        <v>536</v>
      </c>
      <c r="C15" s="4" t="s">
        <v>151</v>
      </c>
      <c r="D15" s="4" t="s">
        <v>539</v>
      </c>
      <c r="E15" s="4" t="s">
        <v>540</v>
      </c>
      <c r="F15" s="42"/>
      <c r="G15" s="41"/>
    </row>
    <row r="16" customFormat="false" ht="36.85" hidden="false" customHeight="false" outlineLevel="0" collapsed="false">
      <c r="A16" s="38" t="s">
        <v>136</v>
      </c>
      <c r="B16" s="4" t="s">
        <v>536</v>
      </c>
      <c r="C16" s="4" t="s">
        <v>154</v>
      </c>
      <c r="D16" s="4" t="s">
        <v>541</v>
      </c>
      <c r="E16" s="4" t="s">
        <v>542</v>
      </c>
      <c r="F16" s="42"/>
      <c r="G16" s="41"/>
    </row>
    <row r="17" customFormat="false" ht="25.15" hidden="false" customHeight="false" outlineLevel="0" collapsed="false">
      <c r="A17" s="38" t="s">
        <v>136</v>
      </c>
      <c r="B17" s="4" t="s">
        <v>536</v>
      </c>
      <c r="C17" s="4" t="s">
        <v>157</v>
      </c>
      <c r="D17" s="4" t="s">
        <v>543</v>
      </c>
      <c r="E17" s="4" t="s">
        <v>544</v>
      </c>
      <c r="F17" s="42"/>
      <c r="G17" s="41"/>
    </row>
    <row r="18" customFormat="false" ht="25.15" hidden="false" customHeight="false" outlineLevel="0" collapsed="false">
      <c r="A18" s="38" t="s">
        <v>136</v>
      </c>
      <c r="B18" s="4" t="s">
        <v>536</v>
      </c>
      <c r="C18" s="4" t="s">
        <v>160</v>
      </c>
      <c r="D18" s="4" t="s">
        <v>545</v>
      </c>
      <c r="E18" s="4" t="s">
        <v>546</v>
      </c>
      <c r="F18" s="42"/>
      <c r="G18" s="41"/>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547</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48.6" hidden="false" customHeight="false" outlineLevel="0" collapsed="false">
      <c r="A22" s="72" t="s">
        <v>136</v>
      </c>
      <c r="B22" s="73" t="s">
        <v>548</v>
      </c>
      <c r="C22" s="73" t="s">
        <v>148</v>
      </c>
      <c r="D22" s="73" t="s">
        <v>452</v>
      </c>
      <c r="E22" s="73" t="s">
        <v>453</v>
      </c>
      <c r="F22" s="71"/>
      <c r="G22" s="74"/>
    </row>
    <row r="23" customFormat="false" ht="25.15" hidden="false" customHeight="false" outlineLevel="0" collapsed="false">
      <c r="A23" s="75" t="s">
        <v>136</v>
      </c>
      <c r="B23" s="4" t="s">
        <v>548</v>
      </c>
      <c r="C23" s="4" t="s">
        <v>151</v>
      </c>
      <c r="D23" s="4" t="s">
        <v>454</v>
      </c>
      <c r="E23" s="4" t="s">
        <v>455</v>
      </c>
      <c r="F23" s="42"/>
      <c r="G23" s="76"/>
    </row>
    <row r="24" customFormat="false" ht="25.15" hidden="false" customHeight="false" outlineLevel="0" collapsed="false">
      <c r="A24" s="75" t="s">
        <v>136</v>
      </c>
      <c r="B24" s="4" t="s">
        <v>548</v>
      </c>
      <c r="C24" s="4" t="s">
        <v>154</v>
      </c>
      <c r="D24" s="4" t="s">
        <v>456</v>
      </c>
      <c r="E24" s="4" t="s">
        <v>457</v>
      </c>
      <c r="F24" s="42"/>
      <c r="G24" s="76"/>
    </row>
    <row r="25" customFormat="false" ht="25.15" hidden="false" customHeight="false" outlineLevel="0" collapsed="false">
      <c r="A25" s="75" t="s">
        <v>136</v>
      </c>
      <c r="B25" s="4" t="s">
        <v>548</v>
      </c>
      <c r="C25" s="4" t="s">
        <v>157</v>
      </c>
      <c r="D25" s="4" t="s">
        <v>458</v>
      </c>
      <c r="E25" s="4" t="s">
        <v>459</v>
      </c>
      <c r="F25" s="42"/>
      <c r="G25" s="76"/>
    </row>
    <row r="26" customFormat="false" ht="25.15" hidden="false" customHeight="false" outlineLevel="0" collapsed="false">
      <c r="A26" s="77" t="s">
        <v>136</v>
      </c>
      <c r="B26" s="78" t="s">
        <v>548</v>
      </c>
      <c r="C26" s="78" t="s">
        <v>160</v>
      </c>
      <c r="D26" s="78" t="s">
        <v>460</v>
      </c>
      <c r="E26" s="78" t="s">
        <v>461</v>
      </c>
      <c r="F26" s="42"/>
      <c r="G26" s="79"/>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549</v>
      </c>
      <c r="E28" s="59"/>
      <c r="F28" s="50" t="e">
        <f aca="false">AVERAGE(F22:F26)</f>
        <v>#DIV/0!</v>
      </c>
      <c r="G28" s="51"/>
    </row>
    <row r="29" s="33" customFormat="true" ht="12.8" hidden="false" customHeight="false" outlineLevel="0" collapsed="false">
      <c r="A29" s="43"/>
      <c r="B29" s="44"/>
      <c r="C29" s="44"/>
      <c r="D29" s="60"/>
      <c r="E29" s="44"/>
      <c r="F29" s="44"/>
      <c r="G29" s="46"/>
    </row>
    <row r="30" customFormat="false" ht="36.85" hidden="false" customHeight="false" outlineLevel="0" collapsed="false">
      <c r="A30" s="72" t="s">
        <v>136</v>
      </c>
      <c r="B30" s="73" t="s">
        <v>550</v>
      </c>
      <c r="C30" s="73" t="s">
        <v>148</v>
      </c>
      <c r="D30" s="73" t="s">
        <v>551</v>
      </c>
      <c r="E30" s="73" t="s">
        <v>552</v>
      </c>
      <c r="F30" s="71"/>
      <c r="G30" s="74"/>
    </row>
    <row r="31" customFormat="false" ht="36.85" hidden="false" customHeight="false" outlineLevel="0" collapsed="false">
      <c r="A31" s="75" t="s">
        <v>136</v>
      </c>
      <c r="B31" s="4" t="s">
        <v>550</v>
      </c>
      <c r="C31" s="4" t="s">
        <v>151</v>
      </c>
      <c r="D31" s="4" t="s">
        <v>553</v>
      </c>
      <c r="E31" s="4" t="s">
        <v>554</v>
      </c>
      <c r="F31" s="42"/>
      <c r="G31" s="76"/>
    </row>
    <row r="32" customFormat="false" ht="25.15" hidden="false" customHeight="false" outlineLevel="0" collapsed="false">
      <c r="A32" s="75" t="s">
        <v>136</v>
      </c>
      <c r="B32" s="4" t="s">
        <v>550</v>
      </c>
      <c r="C32" s="4" t="s">
        <v>154</v>
      </c>
      <c r="D32" s="4" t="s">
        <v>555</v>
      </c>
      <c r="E32" s="4" t="s">
        <v>556</v>
      </c>
      <c r="F32" s="42"/>
      <c r="G32" s="76"/>
    </row>
    <row r="33" customFormat="false" ht="25.15" hidden="false" customHeight="false" outlineLevel="0" collapsed="false">
      <c r="A33" s="75" t="s">
        <v>136</v>
      </c>
      <c r="B33" s="4" t="s">
        <v>550</v>
      </c>
      <c r="C33" s="4" t="s">
        <v>157</v>
      </c>
      <c r="D33" s="4" t="s">
        <v>557</v>
      </c>
      <c r="E33" s="4" t="s">
        <v>558</v>
      </c>
      <c r="F33" s="42"/>
      <c r="G33" s="76"/>
    </row>
    <row r="34" customFormat="false" ht="25.15" hidden="false" customHeight="false" outlineLevel="0" collapsed="false">
      <c r="A34" s="77" t="s">
        <v>136</v>
      </c>
      <c r="B34" s="78" t="s">
        <v>550</v>
      </c>
      <c r="C34" s="78" t="s">
        <v>160</v>
      </c>
      <c r="D34" s="78" t="s">
        <v>559</v>
      </c>
      <c r="E34" s="78" t="s">
        <v>560</v>
      </c>
      <c r="F34" s="42"/>
      <c r="G34" s="79"/>
    </row>
    <row r="35" customFormat="false" ht="12.8" hidden="false" customHeight="false" outlineLevel="0" collapsed="false">
      <c r="A35" s="55"/>
      <c r="B35" s="56"/>
      <c r="C35" s="56"/>
      <c r="D35" s="57"/>
      <c r="E35" s="56"/>
      <c r="F35" s="56"/>
      <c r="G35" s="58"/>
    </row>
    <row r="36" customFormat="false" ht="16.75" hidden="false" customHeight="true" outlineLevel="0" collapsed="false">
      <c r="A36" s="47"/>
      <c r="B36" s="19"/>
      <c r="C36" s="48"/>
      <c r="D36" s="59" t="s">
        <v>561</v>
      </c>
      <c r="E36" s="59"/>
      <c r="F36" s="50" t="e">
        <f aca="false">AVERAGE(F30:F34)</f>
        <v>#DIV/0!</v>
      </c>
      <c r="G36" s="51"/>
    </row>
    <row r="37" s="33" customFormat="true" ht="12.8" hidden="false" customHeight="false" outlineLevel="0" collapsed="false">
      <c r="A37" s="43"/>
      <c r="B37" s="44"/>
      <c r="C37" s="44"/>
      <c r="D37" s="60"/>
      <c r="E37" s="44"/>
      <c r="F37" s="44"/>
      <c r="G37" s="46"/>
    </row>
  </sheetData>
  <mergeCells count="5">
    <mergeCell ref="A1:G4"/>
    <mergeCell ref="D12:E12"/>
    <mergeCell ref="D20:E20"/>
    <mergeCell ref="D28:E28"/>
    <mergeCell ref="D36:E3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6" colorId="64" zoomScale="67" zoomScaleNormal="67" zoomScalePageLayoutView="100" workbookViewId="0">
      <selection pane="topLeft" activeCell="F20" activeCellId="0" sqref="F20"/>
    </sheetView>
  </sheetViews>
  <sheetFormatPr defaultColWidth="11.53515625" defaultRowHeight="12.8" zeroHeight="false" outlineLevelRow="0" outlineLevelCol="0"/>
  <cols>
    <col collapsed="false" customWidth="true" hidden="false" outlineLevel="0" max="4" min="4" style="0" width="23.46"/>
    <col collapsed="false" customWidth="true" hidden="false" outlineLevel="0" max="5" min="5" style="0" width="17.94"/>
    <col collapsed="false" customWidth="true" hidden="false" outlineLevel="0" max="7" min="7" style="0" width="22.57"/>
  </cols>
  <sheetData>
    <row r="1" customFormat="false" ht="12.8" hidden="false" customHeight="false" outlineLevel="0" collapsed="false">
      <c r="A1" s="34" t="s">
        <v>137</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48.6" hidden="false" customHeight="false" outlineLevel="0" collapsed="false">
      <c r="A6" s="72" t="s">
        <v>137</v>
      </c>
      <c r="B6" s="73" t="s">
        <v>562</v>
      </c>
      <c r="C6" s="73" t="s">
        <v>148</v>
      </c>
      <c r="D6" s="73" t="s">
        <v>563</v>
      </c>
      <c r="E6" s="73" t="s">
        <v>564</v>
      </c>
      <c r="F6" s="80"/>
      <c r="G6" s="74"/>
    </row>
    <row r="7" customFormat="false" ht="36.85" hidden="false" customHeight="false" outlineLevel="0" collapsed="false">
      <c r="A7" s="75" t="s">
        <v>137</v>
      </c>
      <c r="B7" s="4" t="s">
        <v>562</v>
      </c>
      <c r="C7" s="4" t="s">
        <v>151</v>
      </c>
      <c r="D7" s="4" t="s">
        <v>565</v>
      </c>
      <c r="E7" s="4" t="s">
        <v>566</v>
      </c>
      <c r="F7" s="42"/>
      <c r="G7" s="76"/>
    </row>
    <row r="8" customFormat="false" ht="36.85" hidden="false" customHeight="false" outlineLevel="0" collapsed="false">
      <c r="A8" s="75" t="s">
        <v>137</v>
      </c>
      <c r="B8" s="4" t="s">
        <v>562</v>
      </c>
      <c r="C8" s="4" t="s">
        <v>154</v>
      </c>
      <c r="D8" s="4" t="s">
        <v>567</v>
      </c>
      <c r="E8" s="4" t="s">
        <v>568</v>
      </c>
      <c r="F8" s="42"/>
      <c r="G8" s="76"/>
    </row>
    <row r="9" customFormat="false" ht="36.85" hidden="false" customHeight="false" outlineLevel="0" collapsed="false">
      <c r="A9" s="75" t="s">
        <v>137</v>
      </c>
      <c r="B9" s="4" t="s">
        <v>562</v>
      </c>
      <c r="C9" s="4" t="s">
        <v>157</v>
      </c>
      <c r="D9" s="4" t="s">
        <v>569</v>
      </c>
      <c r="E9" s="4" t="s">
        <v>570</v>
      </c>
      <c r="F9" s="42"/>
      <c r="G9" s="76"/>
    </row>
    <row r="10" customFormat="false" ht="36.85" hidden="false" customHeight="false" outlineLevel="0" collapsed="false">
      <c r="A10" s="77" t="s">
        <v>137</v>
      </c>
      <c r="B10" s="78" t="s">
        <v>562</v>
      </c>
      <c r="C10" s="78" t="s">
        <v>160</v>
      </c>
      <c r="D10" s="78" t="s">
        <v>545</v>
      </c>
      <c r="E10" s="78" t="s">
        <v>571</v>
      </c>
      <c r="F10" s="81"/>
      <c r="G10" s="79"/>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572</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25.15" hidden="false" customHeight="false" outlineLevel="0" collapsed="false">
      <c r="A14" s="72" t="s">
        <v>137</v>
      </c>
      <c r="B14" s="73" t="s">
        <v>573</v>
      </c>
      <c r="C14" s="73" t="s">
        <v>148</v>
      </c>
      <c r="D14" s="73" t="s">
        <v>574</v>
      </c>
      <c r="E14" s="73" t="s">
        <v>575</v>
      </c>
      <c r="F14" s="42"/>
      <c r="G14" s="74"/>
    </row>
    <row r="15" customFormat="false" ht="25.15" hidden="false" customHeight="false" outlineLevel="0" collapsed="false">
      <c r="A15" s="75" t="s">
        <v>137</v>
      </c>
      <c r="B15" s="4" t="s">
        <v>573</v>
      </c>
      <c r="C15" s="4" t="s">
        <v>151</v>
      </c>
      <c r="D15" s="4" t="s">
        <v>576</v>
      </c>
      <c r="E15" s="4" t="s">
        <v>577</v>
      </c>
      <c r="F15" s="42"/>
      <c r="G15" s="76"/>
    </row>
    <row r="16" customFormat="false" ht="25.15" hidden="false" customHeight="false" outlineLevel="0" collapsed="false">
      <c r="A16" s="75" t="s">
        <v>137</v>
      </c>
      <c r="B16" s="4" t="s">
        <v>573</v>
      </c>
      <c r="C16" s="4" t="s">
        <v>154</v>
      </c>
      <c r="D16" s="4" t="s">
        <v>578</v>
      </c>
      <c r="E16" s="4" t="s">
        <v>579</v>
      </c>
      <c r="F16" s="42"/>
      <c r="G16" s="76"/>
    </row>
    <row r="17" customFormat="false" ht="25.15" hidden="false" customHeight="false" outlineLevel="0" collapsed="false">
      <c r="A17" s="75" t="s">
        <v>137</v>
      </c>
      <c r="B17" s="4" t="s">
        <v>573</v>
      </c>
      <c r="C17" s="4" t="s">
        <v>157</v>
      </c>
      <c r="D17" s="4" t="s">
        <v>580</v>
      </c>
      <c r="E17" s="4" t="s">
        <v>581</v>
      </c>
      <c r="F17" s="42"/>
      <c r="G17" s="76"/>
    </row>
    <row r="18" customFormat="false" ht="25.15" hidden="false" customHeight="false" outlineLevel="0" collapsed="false">
      <c r="A18" s="77" t="s">
        <v>137</v>
      </c>
      <c r="B18" s="78" t="s">
        <v>573</v>
      </c>
      <c r="C18" s="78" t="s">
        <v>160</v>
      </c>
      <c r="D18" s="78" t="s">
        <v>582</v>
      </c>
      <c r="E18" s="78" t="s">
        <v>583</v>
      </c>
      <c r="F18" s="42"/>
      <c r="G18" s="79"/>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584</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36.85" hidden="false" customHeight="false" outlineLevel="0" collapsed="false">
      <c r="A22" s="72" t="s">
        <v>137</v>
      </c>
      <c r="B22" s="73" t="s">
        <v>585</v>
      </c>
      <c r="C22" s="73" t="s">
        <v>148</v>
      </c>
      <c r="D22" s="73" t="s">
        <v>586</v>
      </c>
      <c r="E22" s="73" t="s">
        <v>587</v>
      </c>
      <c r="F22" s="42"/>
      <c r="G22" s="74"/>
    </row>
    <row r="23" customFormat="false" ht="25.15" hidden="false" customHeight="false" outlineLevel="0" collapsed="false">
      <c r="A23" s="75" t="s">
        <v>137</v>
      </c>
      <c r="B23" s="4" t="s">
        <v>585</v>
      </c>
      <c r="C23" s="4" t="s">
        <v>151</v>
      </c>
      <c r="D23" s="4" t="s">
        <v>588</v>
      </c>
      <c r="E23" s="4" t="s">
        <v>589</v>
      </c>
      <c r="F23" s="42"/>
      <c r="G23" s="76"/>
    </row>
    <row r="24" customFormat="false" ht="25.15" hidden="false" customHeight="false" outlineLevel="0" collapsed="false">
      <c r="A24" s="75" t="s">
        <v>137</v>
      </c>
      <c r="B24" s="4" t="s">
        <v>585</v>
      </c>
      <c r="C24" s="4" t="s">
        <v>154</v>
      </c>
      <c r="D24" s="4" t="s">
        <v>590</v>
      </c>
      <c r="E24" s="4" t="s">
        <v>591</v>
      </c>
      <c r="F24" s="42"/>
      <c r="G24" s="76"/>
    </row>
    <row r="25" customFormat="false" ht="25.15" hidden="false" customHeight="false" outlineLevel="0" collapsed="false">
      <c r="A25" s="75" t="s">
        <v>137</v>
      </c>
      <c r="B25" s="4" t="s">
        <v>585</v>
      </c>
      <c r="C25" s="4" t="s">
        <v>157</v>
      </c>
      <c r="D25" s="4" t="s">
        <v>592</v>
      </c>
      <c r="E25" s="4" t="s">
        <v>593</v>
      </c>
      <c r="F25" s="42"/>
      <c r="G25" s="76"/>
    </row>
    <row r="26" customFormat="false" ht="25.15" hidden="false" customHeight="false" outlineLevel="0" collapsed="false">
      <c r="A26" s="77" t="s">
        <v>137</v>
      </c>
      <c r="B26" s="78" t="s">
        <v>585</v>
      </c>
      <c r="C26" s="78" t="s">
        <v>160</v>
      </c>
      <c r="D26" s="78" t="s">
        <v>594</v>
      </c>
      <c r="E26" s="78" t="s">
        <v>595</v>
      </c>
      <c r="F26" s="42"/>
      <c r="G26" s="79"/>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596</v>
      </c>
      <c r="E28" s="59"/>
      <c r="F28" s="50" t="e">
        <f aca="false">AVERAGE(F22:F26)</f>
        <v>#DIV/0!</v>
      </c>
      <c r="G28" s="51"/>
    </row>
    <row r="29" s="33" customFormat="true" ht="12.8" hidden="false" customHeight="false" outlineLevel="0" collapsed="false">
      <c r="A29" s="43"/>
      <c r="B29" s="44"/>
      <c r="C29" s="44"/>
      <c r="D29" s="60"/>
      <c r="E29" s="44"/>
      <c r="F29" s="44"/>
      <c r="G29" s="46"/>
    </row>
    <row r="30" customFormat="false" ht="36.85" hidden="false" customHeight="false" outlineLevel="0" collapsed="false">
      <c r="A30" s="72" t="s">
        <v>137</v>
      </c>
      <c r="B30" s="73" t="s">
        <v>597</v>
      </c>
      <c r="C30" s="73" t="s">
        <v>148</v>
      </c>
      <c r="D30" s="73" t="s">
        <v>598</v>
      </c>
      <c r="E30" s="73" t="s">
        <v>599</v>
      </c>
      <c r="F30" s="42"/>
      <c r="G30" s="74"/>
    </row>
    <row r="31" customFormat="false" ht="25.15" hidden="false" customHeight="false" outlineLevel="0" collapsed="false">
      <c r="A31" s="75" t="s">
        <v>137</v>
      </c>
      <c r="B31" s="4" t="s">
        <v>597</v>
      </c>
      <c r="C31" s="4" t="s">
        <v>151</v>
      </c>
      <c r="D31" s="4" t="s">
        <v>600</v>
      </c>
      <c r="E31" s="4" t="s">
        <v>601</v>
      </c>
      <c r="F31" s="42"/>
      <c r="G31" s="76"/>
    </row>
    <row r="32" customFormat="false" ht="25.15" hidden="false" customHeight="false" outlineLevel="0" collapsed="false">
      <c r="A32" s="75" t="s">
        <v>137</v>
      </c>
      <c r="B32" s="4" t="s">
        <v>597</v>
      </c>
      <c r="C32" s="4" t="s">
        <v>154</v>
      </c>
      <c r="D32" s="4" t="s">
        <v>602</v>
      </c>
      <c r="E32" s="4" t="s">
        <v>603</v>
      </c>
      <c r="F32" s="42"/>
      <c r="G32" s="76"/>
    </row>
    <row r="33" customFormat="false" ht="25.15" hidden="false" customHeight="false" outlineLevel="0" collapsed="false">
      <c r="A33" s="75" t="s">
        <v>137</v>
      </c>
      <c r="B33" s="4" t="s">
        <v>597</v>
      </c>
      <c r="C33" s="4" t="s">
        <v>157</v>
      </c>
      <c r="D33" s="4" t="s">
        <v>604</v>
      </c>
      <c r="E33" s="4" t="s">
        <v>519</v>
      </c>
      <c r="F33" s="42"/>
      <c r="G33" s="76"/>
    </row>
    <row r="34" customFormat="false" ht="25.15" hidden="false" customHeight="false" outlineLevel="0" collapsed="false">
      <c r="A34" s="77" t="s">
        <v>137</v>
      </c>
      <c r="B34" s="78" t="s">
        <v>597</v>
      </c>
      <c r="C34" s="78" t="s">
        <v>160</v>
      </c>
      <c r="D34" s="78" t="s">
        <v>605</v>
      </c>
      <c r="E34" s="78" t="s">
        <v>606</v>
      </c>
      <c r="F34" s="42"/>
      <c r="G34" s="79"/>
    </row>
    <row r="35" customFormat="false" ht="12.8" hidden="false" customHeight="false" outlineLevel="0" collapsed="false">
      <c r="A35" s="55"/>
      <c r="B35" s="56"/>
      <c r="C35" s="56"/>
      <c r="D35" s="57"/>
      <c r="E35" s="56"/>
      <c r="F35" s="56"/>
      <c r="G35" s="58"/>
    </row>
    <row r="36" customFormat="false" ht="16.75" hidden="false" customHeight="true" outlineLevel="0" collapsed="false">
      <c r="A36" s="47"/>
      <c r="B36" s="19"/>
      <c r="C36" s="48"/>
      <c r="D36" s="59" t="s">
        <v>607</v>
      </c>
      <c r="E36" s="59"/>
      <c r="F36" s="50" t="e">
        <f aca="false">AVERAGE(F30:F34)</f>
        <v>#DIV/0!</v>
      </c>
      <c r="G36" s="51"/>
    </row>
    <row r="37" s="33" customFormat="true" ht="12.8" hidden="false" customHeight="false" outlineLevel="0" collapsed="false">
      <c r="A37" s="43"/>
      <c r="B37" s="44"/>
      <c r="C37" s="44"/>
      <c r="D37" s="60"/>
      <c r="E37" s="44"/>
      <c r="F37" s="44"/>
      <c r="G37" s="46"/>
    </row>
  </sheetData>
  <mergeCells count="5">
    <mergeCell ref="A1:G4"/>
    <mergeCell ref="D12:E12"/>
    <mergeCell ref="D20:E20"/>
    <mergeCell ref="D28:E28"/>
    <mergeCell ref="D36:E3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12" activeCellId="0" sqref="F12"/>
    </sheetView>
  </sheetViews>
  <sheetFormatPr defaultColWidth="11.53515625" defaultRowHeight="12.8" zeroHeight="false" outlineLevelRow="0" outlineLevelCol="0"/>
  <cols>
    <col collapsed="false" customWidth="true" hidden="false" outlineLevel="0" max="3" min="3" style="0" width="15.7"/>
    <col collapsed="false" customWidth="true" hidden="false" outlineLevel="0" max="4" min="4" style="0" width="25.11"/>
    <col collapsed="false" customWidth="true" hidden="false" outlineLevel="0" max="5" min="5" style="0" width="18.08"/>
    <col collapsed="false" customWidth="true" hidden="false" outlineLevel="0" max="7" min="7" style="0" width="24.06"/>
  </cols>
  <sheetData>
    <row r="1" customFormat="false" ht="12.8" hidden="false" customHeight="false" outlineLevel="0" collapsed="false">
      <c r="A1" s="34" t="s">
        <v>138</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45.25" hidden="false" customHeight="true" outlineLevel="0" collapsed="false">
      <c r="A6" s="72" t="s">
        <v>138</v>
      </c>
      <c r="B6" s="73" t="s">
        <v>608</v>
      </c>
      <c r="C6" s="73" t="s">
        <v>148</v>
      </c>
      <c r="D6" s="73" t="s">
        <v>609</v>
      </c>
      <c r="E6" s="73" t="s">
        <v>610</v>
      </c>
      <c r="F6" s="42"/>
      <c r="G6" s="74"/>
    </row>
    <row r="7" customFormat="false" ht="33.5" hidden="false" customHeight="true" outlineLevel="0" collapsed="false">
      <c r="A7" s="75" t="s">
        <v>138</v>
      </c>
      <c r="B7" s="4" t="s">
        <v>608</v>
      </c>
      <c r="C7" s="4" t="s">
        <v>151</v>
      </c>
      <c r="D7" s="4" t="s">
        <v>611</v>
      </c>
      <c r="E7" s="4" t="s">
        <v>612</v>
      </c>
      <c r="F7" s="42"/>
      <c r="G7" s="76"/>
    </row>
    <row r="8" customFormat="false" ht="30.15" hidden="false" customHeight="true" outlineLevel="0" collapsed="false">
      <c r="A8" s="75" t="s">
        <v>138</v>
      </c>
      <c r="B8" s="4" t="s">
        <v>608</v>
      </c>
      <c r="C8" s="4" t="s">
        <v>154</v>
      </c>
      <c r="D8" s="4" t="s">
        <v>613</v>
      </c>
      <c r="E8" s="4" t="s">
        <v>614</v>
      </c>
      <c r="F8" s="42"/>
      <c r="G8" s="76"/>
    </row>
    <row r="9" customFormat="false" ht="25.15" hidden="false" customHeight="false" outlineLevel="0" collapsed="false">
      <c r="A9" s="75" t="s">
        <v>138</v>
      </c>
      <c r="B9" s="4" t="s">
        <v>608</v>
      </c>
      <c r="C9" s="4" t="s">
        <v>157</v>
      </c>
      <c r="D9" s="4" t="s">
        <v>615</v>
      </c>
      <c r="E9" s="4" t="s">
        <v>616</v>
      </c>
      <c r="F9" s="42"/>
      <c r="G9" s="76"/>
    </row>
    <row r="10" customFormat="false" ht="25.95" hidden="false" customHeight="true" outlineLevel="0" collapsed="false">
      <c r="A10" s="77" t="s">
        <v>138</v>
      </c>
      <c r="B10" s="78" t="s">
        <v>608</v>
      </c>
      <c r="C10" s="78" t="s">
        <v>160</v>
      </c>
      <c r="D10" s="78" t="s">
        <v>617</v>
      </c>
      <c r="E10" s="78" t="s">
        <v>618</v>
      </c>
      <c r="F10" s="42"/>
      <c r="G10" s="79"/>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619</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36.85" hidden="false" customHeight="false" outlineLevel="0" collapsed="false">
      <c r="A14" s="72" t="s">
        <v>138</v>
      </c>
      <c r="B14" s="73" t="s">
        <v>620</v>
      </c>
      <c r="C14" s="73" t="s">
        <v>148</v>
      </c>
      <c r="D14" s="73" t="s">
        <v>621</v>
      </c>
      <c r="E14" s="73" t="s">
        <v>622</v>
      </c>
      <c r="F14" s="42"/>
      <c r="G14" s="74"/>
    </row>
    <row r="15" customFormat="false" ht="25.15" hidden="false" customHeight="false" outlineLevel="0" collapsed="false">
      <c r="A15" s="75" t="s">
        <v>138</v>
      </c>
      <c r="B15" s="4" t="s">
        <v>620</v>
      </c>
      <c r="C15" s="4" t="s">
        <v>151</v>
      </c>
      <c r="D15" s="4" t="s">
        <v>623</v>
      </c>
      <c r="E15" s="4" t="s">
        <v>624</v>
      </c>
      <c r="F15" s="42"/>
      <c r="G15" s="76"/>
    </row>
    <row r="16" customFormat="false" ht="25.15" hidden="false" customHeight="false" outlineLevel="0" collapsed="false">
      <c r="A16" s="75" t="s">
        <v>138</v>
      </c>
      <c r="B16" s="4" t="s">
        <v>620</v>
      </c>
      <c r="C16" s="4" t="s">
        <v>154</v>
      </c>
      <c r="D16" s="4" t="s">
        <v>625</v>
      </c>
      <c r="E16" s="4" t="s">
        <v>626</v>
      </c>
      <c r="F16" s="42"/>
      <c r="G16" s="76"/>
    </row>
    <row r="17" customFormat="false" ht="25.15" hidden="false" customHeight="false" outlineLevel="0" collapsed="false">
      <c r="A17" s="75" t="s">
        <v>138</v>
      </c>
      <c r="B17" s="4" t="s">
        <v>620</v>
      </c>
      <c r="C17" s="4" t="s">
        <v>157</v>
      </c>
      <c r="D17" s="4" t="s">
        <v>627</v>
      </c>
      <c r="E17" s="4" t="s">
        <v>628</v>
      </c>
      <c r="F17" s="42"/>
      <c r="G17" s="76"/>
    </row>
    <row r="18" customFormat="false" ht="25.15" hidden="false" customHeight="false" outlineLevel="0" collapsed="false">
      <c r="A18" s="77" t="s">
        <v>138</v>
      </c>
      <c r="B18" s="78" t="s">
        <v>620</v>
      </c>
      <c r="C18" s="78" t="s">
        <v>160</v>
      </c>
      <c r="D18" s="78" t="s">
        <v>629</v>
      </c>
      <c r="E18" s="78" t="s">
        <v>630</v>
      </c>
      <c r="F18" s="42"/>
      <c r="G18" s="79"/>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631</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36.85" hidden="false" customHeight="false" outlineLevel="0" collapsed="false">
      <c r="A22" s="72" t="s">
        <v>138</v>
      </c>
      <c r="B22" s="73" t="s">
        <v>632</v>
      </c>
      <c r="C22" s="73" t="s">
        <v>148</v>
      </c>
      <c r="D22" s="73" t="s">
        <v>633</v>
      </c>
      <c r="E22" s="73" t="s">
        <v>634</v>
      </c>
      <c r="F22" s="42"/>
      <c r="G22" s="74"/>
    </row>
    <row r="23" customFormat="false" ht="36.85" hidden="false" customHeight="false" outlineLevel="0" collapsed="false">
      <c r="A23" s="75" t="s">
        <v>138</v>
      </c>
      <c r="B23" s="4" t="s">
        <v>632</v>
      </c>
      <c r="C23" s="4" t="s">
        <v>151</v>
      </c>
      <c r="D23" s="4" t="s">
        <v>635</v>
      </c>
      <c r="E23" s="4" t="s">
        <v>636</v>
      </c>
      <c r="F23" s="42"/>
      <c r="G23" s="76"/>
    </row>
    <row r="24" customFormat="false" ht="36.85" hidden="false" customHeight="false" outlineLevel="0" collapsed="false">
      <c r="A24" s="75" t="s">
        <v>138</v>
      </c>
      <c r="B24" s="4" t="s">
        <v>632</v>
      </c>
      <c r="C24" s="4" t="s">
        <v>154</v>
      </c>
      <c r="D24" s="4" t="s">
        <v>637</v>
      </c>
      <c r="E24" s="4" t="s">
        <v>638</v>
      </c>
      <c r="F24" s="42"/>
      <c r="G24" s="76"/>
    </row>
    <row r="25" customFormat="false" ht="36.85" hidden="false" customHeight="false" outlineLevel="0" collapsed="false">
      <c r="A25" s="75" t="s">
        <v>138</v>
      </c>
      <c r="B25" s="4" t="s">
        <v>632</v>
      </c>
      <c r="C25" s="4" t="s">
        <v>157</v>
      </c>
      <c r="D25" s="4" t="s">
        <v>639</v>
      </c>
      <c r="E25" s="4" t="s">
        <v>640</v>
      </c>
      <c r="F25" s="42"/>
      <c r="G25" s="76"/>
    </row>
    <row r="26" customFormat="false" ht="36.85" hidden="false" customHeight="false" outlineLevel="0" collapsed="false">
      <c r="A26" s="77" t="s">
        <v>138</v>
      </c>
      <c r="B26" s="78" t="s">
        <v>632</v>
      </c>
      <c r="C26" s="78" t="s">
        <v>160</v>
      </c>
      <c r="D26" s="78" t="s">
        <v>641</v>
      </c>
      <c r="E26" s="78" t="s">
        <v>642</v>
      </c>
      <c r="F26" s="42"/>
      <c r="G26" s="79"/>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643</v>
      </c>
      <c r="E28" s="59"/>
      <c r="F28" s="50" t="e">
        <f aca="false">AVERAGE(F22:F26)</f>
        <v>#DIV/0!</v>
      </c>
      <c r="G28" s="51"/>
    </row>
    <row r="29" s="33" customFormat="true" ht="12.8" hidden="false" customHeight="false" outlineLevel="0" collapsed="false">
      <c r="A29" s="43"/>
      <c r="B29" s="44"/>
      <c r="C29" s="44"/>
      <c r="D29" s="60"/>
      <c r="E29" s="44"/>
      <c r="F29" s="44"/>
      <c r="G29" s="46"/>
    </row>
    <row r="30" customFormat="false" ht="36.85" hidden="false" customHeight="false" outlineLevel="0" collapsed="false">
      <c r="A30" s="72" t="s">
        <v>138</v>
      </c>
      <c r="B30" s="73" t="s">
        <v>644</v>
      </c>
      <c r="C30" s="73" t="s">
        <v>148</v>
      </c>
      <c r="D30" s="73" t="s">
        <v>645</v>
      </c>
      <c r="E30" s="73" t="s">
        <v>646</v>
      </c>
      <c r="F30" s="42"/>
      <c r="G30" s="74"/>
    </row>
    <row r="31" customFormat="false" ht="36.85" hidden="false" customHeight="false" outlineLevel="0" collapsed="false">
      <c r="A31" s="75" t="s">
        <v>138</v>
      </c>
      <c r="B31" s="4" t="s">
        <v>644</v>
      </c>
      <c r="C31" s="4" t="s">
        <v>151</v>
      </c>
      <c r="D31" s="4" t="s">
        <v>647</v>
      </c>
      <c r="E31" s="4" t="s">
        <v>419</v>
      </c>
      <c r="F31" s="42"/>
      <c r="G31" s="76"/>
    </row>
    <row r="32" customFormat="false" ht="36.85" hidden="false" customHeight="false" outlineLevel="0" collapsed="false">
      <c r="A32" s="75" t="s">
        <v>138</v>
      </c>
      <c r="B32" s="4" t="s">
        <v>644</v>
      </c>
      <c r="C32" s="4" t="s">
        <v>154</v>
      </c>
      <c r="D32" s="4" t="s">
        <v>648</v>
      </c>
      <c r="E32" s="4" t="s">
        <v>649</v>
      </c>
      <c r="F32" s="42"/>
      <c r="G32" s="76"/>
    </row>
    <row r="33" customFormat="false" ht="36.85" hidden="false" customHeight="false" outlineLevel="0" collapsed="false">
      <c r="A33" s="75" t="s">
        <v>138</v>
      </c>
      <c r="B33" s="4" t="s">
        <v>644</v>
      </c>
      <c r="C33" s="4" t="s">
        <v>157</v>
      </c>
      <c r="D33" s="4" t="s">
        <v>422</v>
      </c>
      <c r="E33" s="4" t="s">
        <v>650</v>
      </c>
      <c r="F33" s="42"/>
      <c r="G33" s="76"/>
    </row>
    <row r="34" customFormat="false" ht="36.85" hidden="false" customHeight="false" outlineLevel="0" collapsed="false">
      <c r="A34" s="77" t="s">
        <v>138</v>
      </c>
      <c r="B34" s="78" t="s">
        <v>644</v>
      </c>
      <c r="C34" s="78" t="s">
        <v>160</v>
      </c>
      <c r="D34" s="78" t="s">
        <v>424</v>
      </c>
      <c r="E34" s="78" t="s">
        <v>651</v>
      </c>
      <c r="F34" s="42"/>
      <c r="G34" s="79"/>
    </row>
    <row r="35" customFormat="false" ht="12.8" hidden="false" customHeight="false" outlineLevel="0" collapsed="false">
      <c r="A35" s="55"/>
      <c r="B35" s="56"/>
      <c r="C35" s="56"/>
      <c r="D35" s="57"/>
      <c r="E35" s="56"/>
      <c r="F35" s="56"/>
      <c r="G35" s="58"/>
    </row>
    <row r="36" customFormat="false" ht="16.75" hidden="false" customHeight="true" outlineLevel="0" collapsed="false">
      <c r="A36" s="47"/>
      <c r="B36" s="19"/>
      <c r="C36" s="48"/>
      <c r="D36" s="59" t="s">
        <v>652</v>
      </c>
      <c r="E36" s="59"/>
      <c r="F36" s="50" t="e">
        <f aca="false">AVERAGE(F30:F34)</f>
        <v>#DIV/0!</v>
      </c>
      <c r="G36" s="51"/>
    </row>
    <row r="37" s="33" customFormat="true" ht="12.8" hidden="false" customHeight="false" outlineLevel="0" collapsed="false">
      <c r="A37" s="43"/>
      <c r="B37" s="44"/>
      <c r="C37" s="44"/>
      <c r="D37" s="60"/>
      <c r="E37" s="44"/>
      <c r="F37" s="44"/>
      <c r="G37" s="46"/>
    </row>
  </sheetData>
  <mergeCells count="5">
    <mergeCell ref="A1:G4"/>
    <mergeCell ref="D12:E12"/>
    <mergeCell ref="D20:E20"/>
    <mergeCell ref="D28:E28"/>
    <mergeCell ref="D36:E3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12" activeCellId="0" sqref="F12"/>
    </sheetView>
  </sheetViews>
  <sheetFormatPr defaultColWidth="11.53515625" defaultRowHeight="12.8" zeroHeight="false" outlineLevelRow="0" outlineLevelCol="0"/>
  <cols>
    <col collapsed="false" customWidth="true" hidden="false" outlineLevel="0" max="4" min="4" style="0" width="20.03"/>
    <col collapsed="false" customWidth="true" hidden="false" outlineLevel="0" max="5" min="5" style="0" width="16.29"/>
    <col collapsed="false" customWidth="true" hidden="false" outlineLevel="0" max="7" min="7" style="0" width="21.52"/>
  </cols>
  <sheetData>
    <row r="1" customFormat="false" ht="12.8" hidden="false" customHeight="false" outlineLevel="0" collapsed="false">
      <c r="A1" s="34" t="s">
        <v>653</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1.95" hidden="false" customHeight="true" outlineLevel="0" collapsed="false">
      <c r="A6" s="72" t="s">
        <v>653</v>
      </c>
      <c r="B6" s="73" t="s">
        <v>654</v>
      </c>
      <c r="C6" s="73" t="s">
        <v>148</v>
      </c>
      <c r="D6" s="73" t="s">
        <v>655</v>
      </c>
      <c r="E6" s="73" t="s">
        <v>656</v>
      </c>
      <c r="F6" s="42"/>
      <c r="G6" s="74"/>
    </row>
    <row r="7" customFormat="false" ht="38.55" hidden="false" customHeight="true" outlineLevel="0" collapsed="false">
      <c r="A7" s="75" t="s">
        <v>653</v>
      </c>
      <c r="B7" s="4" t="s">
        <v>654</v>
      </c>
      <c r="C7" s="4" t="s">
        <v>151</v>
      </c>
      <c r="D7" s="4" t="s">
        <v>657</v>
      </c>
      <c r="E7" s="4" t="s">
        <v>658</v>
      </c>
      <c r="F7" s="42"/>
      <c r="G7" s="76"/>
    </row>
    <row r="8" customFormat="false" ht="31.85" hidden="false" customHeight="true" outlineLevel="0" collapsed="false">
      <c r="A8" s="75" t="s">
        <v>653</v>
      </c>
      <c r="B8" s="4" t="s">
        <v>654</v>
      </c>
      <c r="C8" s="4" t="s">
        <v>154</v>
      </c>
      <c r="D8" s="4" t="s">
        <v>659</v>
      </c>
      <c r="E8" s="4" t="s">
        <v>660</v>
      </c>
      <c r="F8" s="42"/>
      <c r="G8" s="76"/>
    </row>
    <row r="9" customFormat="false" ht="25.15" hidden="false" customHeight="false" outlineLevel="0" collapsed="false">
      <c r="A9" s="75" t="s">
        <v>653</v>
      </c>
      <c r="B9" s="4" t="s">
        <v>654</v>
      </c>
      <c r="C9" s="4" t="s">
        <v>157</v>
      </c>
      <c r="D9" s="4" t="s">
        <v>661</v>
      </c>
      <c r="E9" s="4" t="s">
        <v>662</v>
      </c>
      <c r="F9" s="42"/>
      <c r="G9" s="76"/>
    </row>
    <row r="10" customFormat="false" ht="25.15" hidden="false" customHeight="false" outlineLevel="0" collapsed="false">
      <c r="A10" s="77" t="s">
        <v>653</v>
      </c>
      <c r="B10" s="78" t="s">
        <v>654</v>
      </c>
      <c r="C10" s="78" t="s">
        <v>160</v>
      </c>
      <c r="D10" s="78" t="s">
        <v>663</v>
      </c>
      <c r="E10" s="78" t="s">
        <v>664</v>
      </c>
      <c r="F10" s="42"/>
      <c r="G10" s="79"/>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665</v>
      </c>
      <c r="E12" s="59"/>
      <c r="F12" s="50" t="e">
        <f aca="false">AVERAGE(F6:F10)</f>
        <v>#DIV/0!</v>
      </c>
      <c r="G12" s="51"/>
    </row>
    <row r="13" s="33" customFormat="true" ht="12.8" hidden="false" customHeight="false" outlineLevel="0" collapsed="false">
      <c r="A13" s="43"/>
      <c r="B13" s="44"/>
      <c r="C13" s="44"/>
      <c r="D13" s="60"/>
      <c r="E13" s="44"/>
      <c r="F13" s="44"/>
      <c r="G13" s="46"/>
    </row>
  </sheetData>
  <mergeCells count="2">
    <mergeCell ref="A1:G4"/>
    <mergeCell ref="D12:E1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7"/>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F12" activeCellId="0" sqref="F12"/>
    </sheetView>
  </sheetViews>
  <sheetFormatPr defaultColWidth="11.53515625" defaultRowHeight="12.8" zeroHeight="false" outlineLevelRow="0" outlineLevelCol="0"/>
  <cols>
    <col collapsed="false" customWidth="true" hidden="false" outlineLevel="0" max="2" min="2" style="0" width="13"/>
    <col collapsed="false" customWidth="true" hidden="false" outlineLevel="0" max="4" min="4" style="0" width="21.37"/>
    <col collapsed="false" customWidth="true" hidden="false" outlineLevel="0" max="5" min="5" style="0" width="16.29"/>
    <col collapsed="false" customWidth="true" hidden="false" outlineLevel="0" max="7" min="7" style="0" width="23.32"/>
  </cols>
  <sheetData>
    <row r="1" customFormat="false" ht="12.8" hidden="false" customHeight="false" outlineLevel="0" collapsed="false">
      <c r="A1" s="34" t="s">
        <v>666</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1.95" hidden="false" customHeight="true" outlineLevel="0" collapsed="false">
      <c r="A6" s="72" t="s">
        <v>667</v>
      </c>
      <c r="B6" s="73" t="s">
        <v>668</v>
      </c>
      <c r="C6" s="73" t="s">
        <v>148</v>
      </c>
      <c r="D6" s="73" t="s">
        <v>669</v>
      </c>
      <c r="E6" s="73" t="s">
        <v>670</v>
      </c>
      <c r="F6" s="42"/>
      <c r="G6" s="74"/>
    </row>
    <row r="7" customFormat="false" ht="37.7" hidden="false" customHeight="true" outlineLevel="0" collapsed="false">
      <c r="A7" s="75" t="s">
        <v>667</v>
      </c>
      <c r="B7" s="4" t="s">
        <v>668</v>
      </c>
      <c r="C7" s="4" t="s">
        <v>151</v>
      </c>
      <c r="D7" s="4" t="s">
        <v>671</v>
      </c>
      <c r="E7" s="4" t="s">
        <v>672</v>
      </c>
      <c r="F7" s="42"/>
      <c r="G7" s="76"/>
    </row>
    <row r="8" customFormat="false" ht="38.55" hidden="false" customHeight="true" outlineLevel="0" collapsed="false">
      <c r="A8" s="75" t="s">
        <v>667</v>
      </c>
      <c r="B8" s="4" t="s">
        <v>668</v>
      </c>
      <c r="C8" s="4" t="s">
        <v>154</v>
      </c>
      <c r="D8" s="4" t="s">
        <v>673</v>
      </c>
      <c r="E8" s="4" t="s">
        <v>674</v>
      </c>
      <c r="F8" s="42"/>
      <c r="G8" s="76"/>
    </row>
    <row r="9" customFormat="false" ht="25.95" hidden="false" customHeight="true" outlineLevel="0" collapsed="false">
      <c r="A9" s="75" t="s">
        <v>667</v>
      </c>
      <c r="B9" s="4" t="s">
        <v>668</v>
      </c>
      <c r="C9" s="4" t="s">
        <v>157</v>
      </c>
      <c r="D9" s="4" t="s">
        <v>675</v>
      </c>
      <c r="E9" s="4" t="s">
        <v>676</v>
      </c>
      <c r="F9" s="42"/>
      <c r="G9" s="76"/>
    </row>
    <row r="10" customFormat="false" ht="26.8" hidden="false" customHeight="true" outlineLevel="0" collapsed="false">
      <c r="A10" s="77" t="s">
        <v>667</v>
      </c>
      <c r="B10" s="78" t="s">
        <v>668</v>
      </c>
      <c r="C10" s="78" t="s">
        <v>160</v>
      </c>
      <c r="D10" s="78" t="s">
        <v>545</v>
      </c>
      <c r="E10" s="78" t="s">
        <v>677</v>
      </c>
      <c r="F10" s="42"/>
      <c r="G10" s="79"/>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678</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36.85" hidden="false" customHeight="false" outlineLevel="0" collapsed="false">
      <c r="A14" s="72" t="s">
        <v>667</v>
      </c>
      <c r="B14" s="73" t="s">
        <v>679</v>
      </c>
      <c r="C14" s="73" t="s">
        <v>148</v>
      </c>
      <c r="D14" s="73" t="s">
        <v>551</v>
      </c>
      <c r="E14" s="73" t="s">
        <v>552</v>
      </c>
      <c r="F14" s="42"/>
      <c r="G14" s="74"/>
    </row>
    <row r="15" customFormat="false" ht="25.15" hidden="false" customHeight="false" outlineLevel="0" collapsed="false">
      <c r="A15" s="75" t="s">
        <v>667</v>
      </c>
      <c r="B15" s="4" t="s">
        <v>679</v>
      </c>
      <c r="C15" s="4" t="s">
        <v>151</v>
      </c>
      <c r="D15" s="4" t="s">
        <v>680</v>
      </c>
      <c r="E15" s="4" t="s">
        <v>681</v>
      </c>
      <c r="F15" s="42"/>
      <c r="G15" s="76"/>
    </row>
    <row r="16" customFormat="false" ht="25.15" hidden="false" customHeight="false" outlineLevel="0" collapsed="false">
      <c r="A16" s="75" t="s">
        <v>667</v>
      </c>
      <c r="B16" s="4" t="s">
        <v>679</v>
      </c>
      <c r="C16" s="4" t="s">
        <v>154</v>
      </c>
      <c r="D16" s="4" t="s">
        <v>682</v>
      </c>
      <c r="E16" s="4" t="s">
        <v>683</v>
      </c>
      <c r="F16" s="42"/>
      <c r="G16" s="76"/>
    </row>
    <row r="17" customFormat="false" ht="25.15" hidden="false" customHeight="false" outlineLevel="0" collapsed="false">
      <c r="A17" s="75" t="s">
        <v>667</v>
      </c>
      <c r="B17" s="4" t="s">
        <v>679</v>
      </c>
      <c r="C17" s="4" t="s">
        <v>157</v>
      </c>
      <c r="D17" s="4" t="s">
        <v>684</v>
      </c>
      <c r="E17" s="4" t="s">
        <v>685</v>
      </c>
      <c r="F17" s="42"/>
      <c r="G17" s="76"/>
    </row>
    <row r="18" customFormat="false" ht="25.15" hidden="false" customHeight="false" outlineLevel="0" collapsed="false">
      <c r="A18" s="77" t="s">
        <v>667</v>
      </c>
      <c r="B18" s="78" t="s">
        <v>679</v>
      </c>
      <c r="C18" s="78" t="s">
        <v>160</v>
      </c>
      <c r="D18" s="78" t="s">
        <v>686</v>
      </c>
      <c r="E18" s="78" t="s">
        <v>687</v>
      </c>
      <c r="F18" s="42"/>
      <c r="G18" s="79"/>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688</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36.85" hidden="false" customHeight="false" outlineLevel="0" collapsed="false">
      <c r="A22" s="72" t="s">
        <v>667</v>
      </c>
      <c r="B22" s="73" t="s">
        <v>689</v>
      </c>
      <c r="C22" s="73" t="s">
        <v>148</v>
      </c>
      <c r="D22" s="73" t="s">
        <v>690</v>
      </c>
      <c r="E22" s="73" t="s">
        <v>691</v>
      </c>
      <c r="F22" s="42"/>
      <c r="G22" s="74"/>
    </row>
    <row r="23" customFormat="false" ht="25.15" hidden="false" customHeight="false" outlineLevel="0" collapsed="false">
      <c r="A23" s="75" t="s">
        <v>667</v>
      </c>
      <c r="B23" s="4" t="s">
        <v>689</v>
      </c>
      <c r="C23" s="4" t="s">
        <v>151</v>
      </c>
      <c r="D23" s="4" t="s">
        <v>692</v>
      </c>
      <c r="E23" s="4" t="s">
        <v>693</v>
      </c>
      <c r="F23" s="42"/>
      <c r="G23" s="76"/>
    </row>
    <row r="24" customFormat="false" ht="25.15" hidden="false" customHeight="false" outlineLevel="0" collapsed="false">
      <c r="A24" s="75" t="s">
        <v>667</v>
      </c>
      <c r="B24" s="4" t="s">
        <v>689</v>
      </c>
      <c r="C24" s="4" t="s">
        <v>154</v>
      </c>
      <c r="D24" s="4" t="s">
        <v>694</v>
      </c>
      <c r="E24" s="4" t="s">
        <v>695</v>
      </c>
      <c r="F24" s="42"/>
      <c r="G24" s="76"/>
    </row>
    <row r="25" customFormat="false" ht="25.15" hidden="false" customHeight="false" outlineLevel="0" collapsed="false">
      <c r="A25" s="75" t="s">
        <v>667</v>
      </c>
      <c r="B25" s="4" t="s">
        <v>689</v>
      </c>
      <c r="C25" s="4" t="s">
        <v>157</v>
      </c>
      <c r="D25" s="4" t="s">
        <v>696</v>
      </c>
      <c r="E25" s="4" t="s">
        <v>697</v>
      </c>
      <c r="F25" s="42"/>
      <c r="G25" s="76"/>
    </row>
    <row r="26" customFormat="false" ht="25.15" hidden="false" customHeight="false" outlineLevel="0" collapsed="false">
      <c r="A26" s="77" t="s">
        <v>667</v>
      </c>
      <c r="B26" s="78" t="s">
        <v>689</v>
      </c>
      <c r="C26" s="78" t="s">
        <v>160</v>
      </c>
      <c r="D26" s="78" t="s">
        <v>698</v>
      </c>
      <c r="E26" s="78" t="s">
        <v>699</v>
      </c>
      <c r="F26" s="42"/>
      <c r="G26" s="79"/>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700</v>
      </c>
      <c r="E28" s="59"/>
      <c r="F28" s="50" t="e">
        <f aca="false">AVERAGE(F22:F26)</f>
        <v>#DIV/0!</v>
      </c>
      <c r="G28" s="51"/>
    </row>
    <row r="29" s="33" customFormat="true" ht="12.8" hidden="false" customHeight="false" outlineLevel="0" collapsed="false">
      <c r="A29" s="43"/>
      <c r="B29" s="44"/>
      <c r="C29" s="44"/>
      <c r="D29" s="60"/>
      <c r="E29" s="44"/>
      <c r="F29" s="44"/>
      <c r="G29" s="46"/>
    </row>
    <row r="30" customFormat="false" ht="25.15" hidden="false" customHeight="false" outlineLevel="0" collapsed="false">
      <c r="A30" s="72" t="s">
        <v>667</v>
      </c>
      <c r="B30" s="73" t="s">
        <v>701</v>
      </c>
      <c r="C30" s="73" t="s">
        <v>148</v>
      </c>
      <c r="D30" s="73" t="s">
        <v>702</v>
      </c>
      <c r="E30" s="73" t="s">
        <v>703</v>
      </c>
      <c r="F30" s="42"/>
      <c r="G30" s="74"/>
    </row>
    <row r="31" customFormat="false" ht="25.15" hidden="false" customHeight="false" outlineLevel="0" collapsed="false">
      <c r="A31" s="75" t="s">
        <v>667</v>
      </c>
      <c r="B31" s="4" t="s">
        <v>701</v>
      </c>
      <c r="C31" s="4" t="s">
        <v>151</v>
      </c>
      <c r="D31" s="4" t="s">
        <v>704</v>
      </c>
      <c r="E31" s="4" t="s">
        <v>705</v>
      </c>
      <c r="F31" s="42"/>
      <c r="G31" s="76"/>
    </row>
    <row r="32" customFormat="false" ht="25.15" hidden="false" customHeight="false" outlineLevel="0" collapsed="false">
      <c r="A32" s="75" t="s">
        <v>667</v>
      </c>
      <c r="B32" s="4" t="s">
        <v>701</v>
      </c>
      <c r="C32" s="4" t="s">
        <v>154</v>
      </c>
      <c r="D32" s="4" t="s">
        <v>706</v>
      </c>
      <c r="E32" s="4" t="s">
        <v>707</v>
      </c>
      <c r="F32" s="42"/>
      <c r="G32" s="76"/>
    </row>
    <row r="33" customFormat="false" ht="25.15" hidden="false" customHeight="false" outlineLevel="0" collapsed="false">
      <c r="A33" s="75" t="s">
        <v>667</v>
      </c>
      <c r="B33" s="4" t="s">
        <v>701</v>
      </c>
      <c r="C33" s="4" t="s">
        <v>157</v>
      </c>
      <c r="D33" s="4" t="s">
        <v>708</v>
      </c>
      <c r="E33" s="4" t="s">
        <v>709</v>
      </c>
      <c r="F33" s="42"/>
      <c r="G33" s="76"/>
    </row>
    <row r="34" customFormat="false" ht="25.15" hidden="false" customHeight="false" outlineLevel="0" collapsed="false">
      <c r="A34" s="77" t="s">
        <v>667</v>
      </c>
      <c r="B34" s="78" t="s">
        <v>701</v>
      </c>
      <c r="C34" s="78" t="s">
        <v>160</v>
      </c>
      <c r="D34" s="78" t="s">
        <v>710</v>
      </c>
      <c r="E34" s="78" t="s">
        <v>711</v>
      </c>
      <c r="F34" s="42"/>
      <c r="G34" s="79"/>
    </row>
    <row r="35" customFormat="false" ht="12.8" hidden="false" customHeight="false" outlineLevel="0" collapsed="false">
      <c r="A35" s="55"/>
      <c r="B35" s="56"/>
      <c r="C35" s="56"/>
      <c r="D35" s="57"/>
      <c r="E35" s="56"/>
      <c r="F35" s="56"/>
      <c r="G35" s="58"/>
    </row>
    <row r="36" customFormat="false" ht="16.75" hidden="false" customHeight="true" outlineLevel="0" collapsed="false">
      <c r="A36" s="47"/>
      <c r="B36" s="19"/>
      <c r="C36" s="48"/>
      <c r="D36" s="59" t="s">
        <v>712</v>
      </c>
      <c r="E36" s="59"/>
      <c r="F36" s="50" t="e">
        <f aca="false">AVERAGE(F30:F34)</f>
        <v>#DIV/0!</v>
      </c>
      <c r="G36" s="51"/>
    </row>
    <row r="37" s="33" customFormat="true" ht="12.8" hidden="false" customHeight="false" outlineLevel="0" collapsed="false">
      <c r="A37" s="43"/>
      <c r="B37" s="44"/>
      <c r="C37" s="44"/>
      <c r="D37" s="60"/>
      <c r="E37" s="44"/>
      <c r="F37" s="44"/>
      <c r="G37" s="46"/>
    </row>
    <row r="38" customFormat="false" ht="36.85" hidden="false" customHeight="false" outlineLevel="0" collapsed="false">
      <c r="A38" s="72" t="s">
        <v>667</v>
      </c>
      <c r="B38" s="73" t="s">
        <v>713</v>
      </c>
      <c r="C38" s="73" t="s">
        <v>148</v>
      </c>
      <c r="D38" s="73" t="s">
        <v>714</v>
      </c>
      <c r="E38" s="73" t="s">
        <v>715</v>
      </c>
      <c r="F38" s="42"/>
      <c r="G38" s="74"/>
    </row>
    <row r="39" customFormat="false" ht="36.85" hidden="false" customHeight="false" outlineLevel="0" collapsed="false">
      <c r="A39" s="75" t="s">
        <v>667</v>
      </c>
      <c r="B39" s="4" t="s">
        <v>713</v>
      </c>
      <c r="C39" s="4" t="s">
        <v>151</v>
      </c>
      <c r="D39" s="4" t="s">
        <v>716</v>
      </c>
      <c r="E39" s="4" t="s">
        <v>717</v>
      </c>
      <c r="F39" s="42"/>
      <c r="G39" s="76"/>
    </row>
    <row r="40" customFormat="false" ht="36.85" hidden="false" customHeight="false" outlineLevel="0" collapsed="false">
      <c r="A40" s="75" t="s">
        <v>667</v>
      </c>
      <c r="B40" s="4" t="s">
        <v>713</v>
      </c>
      <c r="C40" s="4" t="s">
        <v>154</v>
      </c>
      <c r="D40" s="4" t="s">
        <v>718</v>
      </c>
      <c r="E40" s="4" t="s">
        <v>719</v>
      </c>
      <c r="F40" s="42"/>
      <c r="G40" s="76"/>
    </row>
    <row r="41" customFormat="false" ht="36.85" hidden="false" customHeight="false" outlineLevel="0" collapsed="false">
      <c r="A41" s="75" t="s">
        <v>667</v>
      </c>
      <c r="B41" s="4" t="s">
        <v>713</v>
      </c>
      <c r="C41" s="4" t="s">
        <v>157</v>
      </c>
      <c r="D41" s="4" t="s">
        <v>720</v>
      </c>
      <c r="E41" s="4" t="s">
        <v>721</v>
      </c>
      <c r="F41" s="42"/>
      <c r="G41" s="76"/>
    </row>
    <row r="42" customFormat="false" ht="36.85" hidden="false" customHeight="false" outlineLevel="0" collapsed="false">
      <c r="A42" s="77" t="s">
        <v>667</v>
      </c>
      <c r="B42" s="78" t="s">
        <v>713</v>
      </c>
      <c r="C42" s="78" t="s">
        <v>160</v>
      </c>
      <c r="D42" s="78" t="s">
        <v>722</v>
      </c>
      <c r="E42" s="78" t="s">
        <v>723</v>
      </c>
      <c r="F42" s="42"/>
      <c r="G42" s="79"/>
    </row>
    <row r="43" customFormat="false" ht="12.8" hidden="false" customHeight="false" outlineLevel="0" collapsed="false">
      <c r="A43" s="55"/>
      <c r="B43" s="56"/>
      <c r="C43" s="56"/>
      <c r="D43" s="57"/>
      <c r="E43" s="56"/>
      <c r="F43" s="56"/>
      <c r="G43" s="58"/>
    </row>
    <row r="44" customFormat="false" ht="16.75" hidden="false" customHeight="true" outlineLevel="0" collapsed="false">
      <c r="A44" s="47"/>
      <c r="B44" s="19"/>
      <c r="C44" s="48"/>
      <c r="D44" s="59" t="s">
        <v>724</v>
      </c>
      <c r="E44" s="59"/>
      <c r="F44" s="50" t="e">
        <f aca="false">AVERAGE(F38:F42)</f>
        <v>#DIV/0!</v>
      </c>
      <c r="G44" s="51"/>
    </row>
    <row r="45" s="33" customFormat="true" ht="12.8" hidden="false" customHeight="false" outlineLevel="0" collapsed="false">
      <c r="A45" s="43"/>
      <c r="B45" s="44"/>
      <c r="C45" s="44"/>
      <c r="D45" s="60"/>
      <c r="E45" s="44"/>
      <c r="F45" s="44"/>
      <c r="G45" s="46"/>
    </row>
    <row r="46" customFormat="false" ht="25.15" hidden="false" customHeight="false" outlineLevel="0" collapsed="false">
      <c r="A46" s="72" t="s">
        <v>667</v>
      </c>
      <c r="B46" s="73" t="s">
        <v>725</v>
      </c>
      <c r="C46" s="73" t="s">
        <v>148</v>
      </c>
      <c r="D46" s="73" t="s">
        <v>726</v>
      </c>
      <c r="E46" s="73" t="s">
        <v>727</v>
      </c>
      <c r="F46" s="42"/>
      <c r="G46" s="74"/>
    </row>
    <row r="47" customFormat="false" ht="25.15" hidden="false" customHeight="false" outlineLevel="0" collapsed="false">
      <c r="A47" s="75" t="s">
        <v>667</v>
      </c>
      <c r="B47" s="4" t="s">
        <v>725</v>
      </c>
      <c r="C47" s="4" t="s">
        <v>151</v>
      </c>
      <c r="D47" s="4" t="s">
        <v>728</v>
      </c>
      <c r="E47" s="4" t="s">
        <v>729</v>
      </c>
      <c r="F47" s="42"/>
      <c r="G47" s="76"/>
    </row>
    <row r="48" customFormat="false" ht="25.15" hidden="false" customHeight="false" outlineLevel="0" collapsed="false">
      <c r="A48" s="75" t="s">
        <v>667</v>
      </c>
      <c r="B48" s="4" t="s">
        <v>725</v>
      </c>
      <c r="C48" s="4" t="s">
        <v>154</v>
      </c>
      <c r="D48" s="4" t="s">
        <v>730</v>
      </c>
      <c r="E48" s="4" t="s">
        <v>731</v>
      </c>
      <c r="F48" s="42"/>
      <c r="G48" s="76"/>
    </row>
    <row r="49" customFormat="false" ht="25.15" hidden="false" customHeight="false" outlineLevel="0" collapsed="false">
      <c r="A49" s="75" t="s">
        <v>667</v>
      </c>
      <c r="B49" s="4" t="s">
        <v>725</v>
      </c>
      <c r="C49" s="4" t="s">
        <v>157</v>
      </c>
      <c r="D49" s="4" t="s">
        <v>732</v>
      </c>
      <c r="E49" s="4" t="s">
        <v>733</v>
      </c>
      <c r="F49" s="42"/>
      <c r="G49" s="76"/>
    </row>
    <row r="50" customFormat="false" ht="25.15" hidden="false" customHeight="false" outlineLevel="0" collapsed="false">
      <c r="A50" s="77" t="s">
        <v>667</v>
      </c>
      <c r="B50" s="78" t="s">
        <v>725</v>
      </c>
      <c r="C50" s="78" t="s">
        <v>160</v>
      </c>
      <c r="D50" s="78" t="s">
        <v>734</v>
      </c>
      <c r="E50" s="78" t="s">
        <v>735</v>
      </c>
      <c r="F50" s="42"/>
      <c r="G50" s="79"/>
    </row>
    <row r="51" customFormat="false" ht="12.8" hidden="false" customHeight="false" outlineLevel="0" collapsed="false">
      <c r="A51" s="55"/>
      <c r="B51" s="56"/>
      <c r="C51" s="56"/>
      <c r="D51" s="57"/>
      <c r="E51" s="56"/>
      <c r="F51" s="56"/>
      <c r="G51" s="58"/>
    </row>
    <row r="52" customFormat="false" ht="16.75" hidden="false" customHeight="true" outlineLevel="0" collapsed="false">
      <c r="A52" s="47"/>
      <c r="B52" s="19"/>
      <c r="C52" s="48"/>
      <c r="D52" s="59" t="s">
        <v>736</v>
      </c>
      <c r="E52" s="59"/>
      <c r="F52" s="50" t="e">
        <f aca="false">AVERAGE(F46:F50)</f>
        <v>#DIV/0!</v>
      </c>
      <c r="G52" s="51"/>
    </row>
    <row r="53" s="33" customFormat="true" ht="12.8" hidden="false" customHeight="false" outlineLevel="0" collapsed="false">
      <c r="A53" s="43"/>
      <c r="B53" s="44"/>
      <c r="C53" s="44"/>
      <c r="D53" s="60"/>
      <c r="E53" s="44"/>
      <c r="F53" s="44"/>
      <c r="G53" s="46"/>
    </row>
    <row r="54" customFormat="false" ht="25.15" hidden="false" customHeight="false" outlineLevel="0" collapsed="false">
      <c r="A54" s="72" t="s">
        <v>667</v>
      </c>
      <c r="B54" s="73" t="s">
        <v>737</v>
      </c>
      <c r="C54" s="73" t="s">
        <v>148</v>
      </c>
      <c r="D54" s="73" t="s">
        <v>738</v>
      </c>
      <c r="E54" s="73" t="s">
        <v>739</v>
      </c>
      <c r="F54" s="42"/>
      <c r="G54" s="74"/>
    </row>
    <row r="55" customFormat="false" ht="25.15" hidden="false" customHeight="false" outlineLevel="0" collapsed="false">
      <c r="A55" s="75" t="s">
        <v>667</v>
      </c>
      <c r="B55" s="4" t="s">
        <v>737</v>
      </c>
      <c r="C55" s="4" t="s">
        <v>151</v>
      </c>
      <c r="D55" s="4" t="s">
        <v>740</v>
      </c>
      <c r="E55" s="4" t="s">
        <v>741</v>
      </c>
      <c r="F55" s="42"/>
      <c r="G55" s="76"/>
    </row>
    <row r="56" customFormat="false" ht="25.15" hidden="false" customHeight="false" outlineLevel="0" collapsed="false">
      <c r="A56" s="75" t="s">
        <v>667</v>
      </c>
      <c r="B56" s="4" t="s">
        <v>737</v>
      </c>
      <c r="C56" s="4" t="s">
        <v>154</v>
      </c>
      <c r="D56" s="4" t="s">
        <v>742</v>
      </c>
      <c r="E56" s="4" t="s">
        <v>743</v>
      </c>
      <c r="F56" s="42"/>
      <c r="G56" s="76"/>
    </row>
    <row r="57" customFormat="false" ht="25.15" hidden="false" customHeight="false" outlineLevel="0" collapsed="false">
      <c r="A57" s="75" t="s">
        <v>667</v>
      </c>
      <c r="B57" s="4" t="s">
        <v>737</v>
      </c>
      <c r="C57" s="4" t="s">
        <v>157</v>
      </c>
      <c r="D57" s="4" t="s">
        <v>744</v>
      </c>
      <c r="E57" s="4" t="s">
        <v>745</v>
      </c>
      <c r="F57" s="42"/>
      <c r="G57" s="76"/>
    </row>
    <row r="58" customFormat="false" ht="25.15" hidden="false" customHeight="false" outlineLevel="0" collapsed="false">
      <c r="A58" s="77" t="s">
        <v>667</v>
      </c>
      <c r="B58" s="78" t="s">
        <v>737</v>
      </c>
      <c r="C58" s="78" t="s">
        <v>160</v>
      </c>
      <c r="D58" s="78" t="s">
        <v>746</v>
      </c>
      <c r="E58" s="78" t="s">
        <v>747</v>
      </c>
      <c r="F58" s="42"/>
      <c r="G58" s="79"/>
    </row>
    <row r="59" customFormat="false" ht="12.8" hidden="false" customHeight="false" outlineLevel="0" collapsed="false">
      <c r="A59" s="55"/>
      <c r="B59" s="56"/>
      <c r="C59" s="56"/>
      <c r="D59" s="57"/>
      <c r="E59" s="56"/>
      <c r="F59" s="56"/>
      <c r="G59" s="58"/>
    </row>
    <row r="60" customFormat="false" ht="16.75" hidden="false" customHeight="true" outlineLevel="0" collapsed="false">
      <c r="A60" s="47"/>
      <c r="B60" s="19"/>
      <c r="C60" s="48"/>
      <c r="D60" s="59" t="s">
        <v>748</v>
      </c>
      <c r="E60" s="59"/>
      <c r="F60" s="50" t="e">
        <f aca="false">AVERAGE(F54:F58)</f>
        <v>#DIV/0!</v>
      </c>
      <c r="G60" s="51"/>
    </row>
    <row r="61" s="33" customFormat="true" ht="12.8" hidden="false" customHeight="false" outlineLevel="0" collapsed="false">
      <c r="A61" s="43"/>
      <c r="B61" s="44"/>
      <c r="C61" s="44"/>
      <c r="D61" s="60"/>
      <c r="E61" s="44"/>
      <c r="F61" s="44"/>
      <c r="G61" s="46"/>
    </row>
    <row r="62" customFormat="false" ht="25.15" hidden="false" customHeight="false" outlineLevel="0" collapsed="false">
      <c r="A62" s="72" t="s">
        <v>667</v>
      </c>
      <c r="B62" s="73" t="s">
        <v>749</v>
      </c>
      <c r="C62" s="73" t="s">
        <v>148</v>
      </c>
      <c r="D62" s="73" t="s">
        <v>750</v>
      </c>
      <c r="E62" s="73" t="s">
        <v>751</v>
      </c>
      <c r="F62" s="42"/>
      <c r="G62" s="74"/>
    </row>
    <row r="63" customFormat="false" ht="25.15" hidden="false" customHeight="false" outlineLevel="0" collapsed="false">
      <c r="A63" s="75" t="s">
        <v>667</v>
      </c>
      <c r="B63" s="4" t="s">
        <v>749</v>
      </c>
      <c r="C63" s="4" t="s">
        <v>151</v>
      </c>
      <c r="D63" s="4" t="s">
        <v>752</v>
      </c>
      <c r="E63" s="4" t="s">
        <v>753</v>
      </c>
      <c r="F63" s="42"/>
      <c r="G63" s="76"/>
    </row>
    <row r="64" customFormat="false" ht="25.15" hidden="false" customHeight="false" outlineLevel="0" collapsed="false">
      <c r="A64" s="75" t="s">
        <v>667</v>
      </c>
      <c r="B64" s="4" t="s">
        <v>749</v>
      </c>
      <c r="C64" s="4" t="s">
        <v>154</v>
      </c>
      <c r="D64" s="4" t="s">
        <v>754</v>
      </c>
      <c r="E64" s="4" t="s">
        <v>755</v>
      </c>
      <c r="F64" s="42"/>
      <c r="G64" s="76"/>
    </row>
    <row r="65" customFormat="false" ht="25.15" hidden="false" customHeight="false" outlineLevel="0" collapsed="false">
      <c r="A65" s="75" t="s">
        <v>667</v>
      </c>
      <c r="B65" s="4" t="s">
        <v>749</v>
      </c>
      <c r="C65" s="4" t="s">
        <v>157</v>
      </c>
      <c r="D65" s="4" t="s">
        <v>732</v>
      </c>
      <c r="E65" s="4" t="s">
        <v>756</v>
      </c>
      <c r="F65" s="42"/>
      <c r="G65" s="76"/>
    </row>
    <row r="66" customFormat="false" ht="25.15" hidden="false" customHeight="false" outlineLevel="0" collapsed="false">
      <c r="A66" s="77" t="s">
        <v>667</v>
      </c>
      <c r="B66" s="78" t="s">
        <v>749</v>
      </c>
      <c r="C66" s="78" t="s">
        <v>160</v>
      </c>
      <c r="D66" s="78" t="s">
        <v>734</v>
      </c>
      <c r="E66" s="78" t="s">
        <v>757</v>
      </c>
      <c r="F66" s="42"/>
      <c r="G66" s="79"/>
    </row>
    <row r="67" customFormat="false" ht="12.8" hidden="false" customHeight="false" outlineLevel="0" collapsed="false">
      <c r="A67" s="55"/>
      <c r="B67" s="56"/>
      <c r="C67" s="56"/>
      <c r="D67" s="57"/>
      <c r="E67" s="56"/>
      <c r="F67" s="56"/>
      <c r="G67" s="58"/>
    </row>
    <row r="68" customFormat="false" ht="16.75" hidden="false" customHeight="true" outlineLevel="0" collapsed="false">
      <c r="A68" s="47"/>
      <c r="B68" s="19"/>
      <c r="C68" s="48"/>
      <c r="D68" s="59" t="s">
        <v>758</v>
      </c>
      <c r="E68" s="59"/>
      <c r="F68" s="50" t="e">
        <f aca="false">AVERAGE(F62:F66)</f>
        <v>#DIV/0!</v>
      </c>
      <c r="G68" s="51"/>
    </row>
    <row r="69" s="33" customFormat="true" ht="12.8" hidden="false" customHeight="false" outlineLevel="0" collapsed="false">
      <c r="A69" s="43"/>
      <c r="B69" s="44"/>
      <c r="C69" s="44"/>
      <c r="D69" s="60"/>
      <c r="E69" s="44"/>
      <c r="F69" s="44"/>
      <c r="G69" s="46"/>
    </row>
    <row r="70" customFormat="false" ht="36.85" hidden="false" customHeight="false" outlineLevel="0" collapsed="false">
      <c r="A70" s="72" t="s">
        <v>667</v>
      </c>
      <c r="B70" s="73" t="s">
        <v>759</v>
      </c>
      <c r="C70" s="73" t="s">
        <v>148</v>
      </c>
      <c r="D70" s="73" t="s">
        <v>760</v>
      </c>
      <c r="E70" s="73" t="s">
        <v>761</v>
      </c>
      <c r="F70" s="42"/>
      <c r="G70" s="74"/>
    </row>
    <row r="71" customFormat="false" ht="36.85" hidden="false" customHeight="false" outlineLevel="0" collapsed="false">
      <c r="A71" s="75" t="s">
        <v>667</v>
      </c>
      <c r="B71" s="4" t="s">
        <v>759</v>
      </c>
      <c r="C71" s="4" t="s">
        <v>151</v>
      </c>
      <c r="D71" s="4" t="s">
        <v>762</v>
      </c>
      <c r="E71" s="4" t="s">
        <v>763</v>
      </c>
      <c r="F71" s="42"/>
      <c r="G71" s="76"/>
    </row>
    <row r="72" customFormat="false" ht="36.85" hidden="false" customHeight="false" outlineLevel="0" collapsed="false">
      <c r="A72" s="75" t="s">
        <v>667</v>
      </c>
      <c r="B72" s="4" t="s">
        <v>759</v>
      </c>
      <c r="C72" s="4" t="s">
        <v>154</v>
      </c>
      <c r="D72" s="4" t="s">
        <v>764</v>
      </c>
      <c r="E72" s="4" t="s">
        <v>765</v>
      </c>
      <c r="F72" s="42"/>
      <c r="G72" s="76"/>
    </row>
    <row r="73" customFormat="false" ht="25.15" hidden="false" customHeight="false" outlineLevel="0" collapsed="false">
      <c r="A73" s="75" t="s">
        <v>667</v>
      </c>
      <c r="B73" s="4" t="s">
        <v>759</v>
      </c>
      <c r="C73" s="4" t="s">
        <v>157</v>
      </c>
      <c r="D73" s="4" t="s">
        <v>766</v>
      </c>
      <c r="E73" s="4" t="s">
        <v>767</v>
      </c>
      <c r="F73" s="42"/>
      <c r="G73" s="76"/>
    </row>
    <row r="74" customFormat="false" ht="25.15" hidden="false" customHeight="false" outlineLevel="0" collapsed="false">
      <c r="A74" s="77" t="s">
        <v>667</v>
      </c>
      <c r="B74" s="78" t="s">
        <v>759</v>
      </c>
      <c r="C74" s="78" t="s">
        <v>160</v>
      </c>
      <c r="D74" s="78" t="s">
        <v>768</v>
      </c>
      <c r="E74" s="78" t="s">
        <v>769</v>
      </c>
      <c r="F74" s="42"/>
      <c r="G74" s="79"/>
    </row>
    <row r="75" customFormat="false" ht="12.8" hidden="false" customHeight="false" outlineLevel="0" collapsed="false">
      <c r="A75" s="55"/>
      <c r="B75" s="56"/>
      <c r="C75" s="56"/>
      <c r="D75" s="57"/>
      <c r="E75" s="56"/>
      <c r="F75" s="56"/>
      <c r="G75" s="58"/>
    </row>
    <row r="76" customFormat="false" ht="16.75" hidden="false" customHeight="true" outlineLevel="0" collapsed="false">
      <c r="A76" s="47"/>
      <c r="B76" s="19"/>
      <c r="C76" s="48"/>
      <c r="D76" s="59" t="s">
        <v>770</v>
      </c>
      <c r="E76" s="59"/>
      <c r="F76" s="50" t="e">
        <f aca="false">AVERAGE(F70:F74)</f>
        <v>#DIV/0!</v>
      </c>
      <c r="G76" s="51"/>
    </row>
    <row r="77" s="33" customFormat="true" ht="12.8" hidden="false" customHeight="false" outlineLevel="0" collapsed="false">
      <c r="A77" s="43"/>
      <c r="B77" s="44"/>
      <c r="C77" s="44"/>
      <c r="D77" s="60"/>
      <c r="E77" s="44"/>
      <c r="F77" s="44"/>
      <c r="G77" s="46"/>
    </row>
    <row r="78" customFormat="false" ht="25.15" hidden="false" customHeight="false" outlineLevel="0" collapsed="false">
      <c r="A78" s="72" t="s">
        <v>667</v>
      </c>
      <c r="B78" s="73" t="s">
        <v>771</v>
      </c>
      <c r="C78" s="73" t="s">
        <v>148</v>
      </c>
      <c r="D78" s="73" t="s">
        <v>772</v>
      </c>
      <c r="E78" s="73" t="s">
        <v>773</v>
      </c>
      <c r="F78" s="42"/>
      <c r="G78" s="74"/>
    </row>
    <row r="79" customFormat="false" ht="25.15" hidden="false" customHeight="false" outlineLevel="0" collapsed="false">
      <c r="A79" s="75" t="s">
        <v>667</v>
      </c>
      <c r="B79" s="4" t="s">
        <v>771</v>
      </c>
      <c r="C79" s="4" t="s">
        <v>151</v>
      </c>
      <c r="D79" s="4" t="s">
        <v>774</v>
      </c>
      <c r="E79" s="4" t="s">
        <v>775</v>
      </c>
      <c r="F79" s="42"/>
      <c r="G79" s="76"/>
    </row>
    <row r="80" customFormat="false" ht="25.15" hidden="false" customHeight="false" outlineLevel="0" collapsed="false">
      <c r="A80" s="75" t="s">
        <v>667</v>
      </c>
      <c r="B80" s="4" t="s">
        <v>771</v>
      </c>
      <c r="C80" s="4" t="s">
        <v>154</v>
      </c>
      <c r="D80" s="4" t="s">
        <v>776</v>
      </c>
      <c r="E80" s="4" t="s">
        <v>777</v>
      </c>
      <c r="F80" s="42"/>
      <c r="G80" s="76"/>
    </row>
    <row r="81" customFormat="false" ht="25.15" hidden="false" customHeight="false" outlineLevel="0" collapsed="false">
      <c r="A81" s="75" t="s">
        <v>667</v>
      </c>
      <c r="B81" s="4" t="s">
        <v>771</v>
      </c>
      <c r="C81" s="4" t="s">
        <v>157</v>
      </c>
      <c r="D81" s="4" t="s">
        <v>778</v>
      </c>
      <c r="E81" s="4" t="s">
        <v>304</v>
      </c>
      <c r="F81" s="42"/>
      <c r="G81" s="76"/>
    </row>
    <row r="82" customFormat="false" ht="25.15" hidden="false" customHeight="false" outlineLevel="0" collapsed="false">
      <c r="A82" s="77" t="s">
        <v>667</v>
      </c>
      <c r="B82" s="78" t="s">
        <v>771</v>
      </c>
      <c r="C82" s="78" t="s">
        <v>160</v>
      </c>
      <c r="D82" s="78" t="s">
        <v>779</v>
      </c>
      <c r="E82" s="78" t="s">
        <v>780</v>
      </c>
      <c r="F82" s="42"/>
      <c r="G82" s="79"/>
    </row>
    <row r="83" customFormat="false" ht="12.8" hidden="false" customHeight="false" outlineLevel="0" collapsed="false">
      <c r="A83" s="55"/>
      <c r="B83" s="56"/>
      <c r="C83" s="56"/>
      <c r="D83" s="57"/>
      <c r="E83" s="56"/>
      <c r="F83" s="56"/>
      <c r="G83" s="58"/>
    </row>
    <row r="84" customFormat="false" ht="16.75" hidden="false" customHeight="true" outlineLevel="0" collapsed="false">
      <c r="A84" s="47"/>
      <c r="B84" s="19"/>
      <c r="C84" s="48"/>
      <c r="D84" s="59" t="s">
        <v>781</v>
      </c>
      <c r="E84" s="59"/>
      <c r="F84" s="50" t="e">
        <f aca="false">AVERAGE(F78:F82)</f>
        <v>#DIV/0!</v>
      </c>
      <c r="G84" s="51"/>
    </row>
    <row r="85" s="33" customFormat="true" ht="12.8" hidden="false" customHeight="false" outlineLevel="0" collapsed="false">
      <c r="A85" s="43"/>
      <c r="B85" s="44"/>
      <c r="C85" s="44"/>
      <c r="D85" s="60"/>
      <c r="E85" s="44"/>
      <c r="F85" s="44"/>
      <c r="G85" s="46"/>
    </row>
    <row r="86" customFormat="false" ht="36.85" hidden="false" customHeight="false" outlineLevel="0" collapsed="false">
      <c r="A86" s="72" t="s">
        <v>667</v>
      </c>
      <c r="B86" s="73" t="s">
        <v>782</v>
      </c>
      <c r="C86" s="73" t="s">
        <v>148</v>
      </c>
      <c r="D86" s="73" t="s">
        <v>783</v>
      </c>
      <c r="E86" s="73" t="s">
        <v>784</v>
      </c>
      <c r="F86" s="42"/>
      <c r="G86" s="74"/>
    </row>
    <row r="87" customFormat="false" ht="25.15" hidden="false" customHeight="false" outlineLevel="0" collapsed="false">
      <c r="A87" s="75" t="s">
        <v>667</v>
      </c>
      <c r="B87" s="4" t="s">
        <v>782</v>
      </c>
      <c r="C87" s="4" t="s">
        <v>151</v>
      </c>
      <c r="D87" s="4" t="s">
        <v>785</v>
      </c>
      <c r="E87" s="4" t="s">
        <v>786</v>
      </c>
      <c r="F87" s="42"/>
      <c r="G87" s="76"/>
    </row>
    <row r="88" customFormat="false" ht="25.15" hidden="false" customHeight="false" outlineLevel="0" collapsed="false">
      <c r="A88" s="75" t="s">
        <v>667</v>
      </c>
      <c r="B88" s="4" t="s">
        <v>782</v>
      </c>
      <c r="C88" s="4" t="s">
        <v>154</v>
      </c>
      <c r="D88" s="4" t="s">
        <v>787</v>
      </c>
      <c r="E88" s="4" t="s">
        <v>788</v>
      </c>
      <c r="F88" s="42"/>
      <c r="G88" s="76"/>
    </row>
    <row r="89" customFormat="false" ht="25.15" hidden="false" customHeight="false" outlineLevel="0" collapsed="false">
      <c r="A89" s="75" t="s">
        <v>667</v>
      </c>
      <c r="B89" s="4" t="s">
        <v>782</v>
      </c>
      <c r="C89" s="4" t="s">
        <v>157</v>
      </c>
      <c r="D89" s="4" t="s">
        <v>778</v>
      </c>
      <c r="E89" s="4" t="s">
        <v>789</v>
      </c>
      <c r="F89" s="42"/>
      <c r="G89" s="76"/>
    </row>
    <row r="90" customFormat="false" ht="25.15" hidden="false" customHeight="false" outlineLevel="0" collapsed="false">
      <c r="A90" s="77" t="s">
        <v>667</v>
      </c>
      <c r="B90" s="78" t="s">
        <v>782</v>
      </c>
      <c r="C90" s="78" t="s">
        <v>160</v>
      </c>
      <c r="D90" s="78" t="s">
        <v>779</v>
      </c>
      <c r="E90" s="78" t="s">
        <v>790</v>
      </c>
      <c r="F90" s="42"/>
      <c r="G90" s="79"/>
    </row>
    <row r="91" customFormat="false" ht="12.8" hidden="false" customHeight="false" outlineLevel="0" collapsed="false">
      <c r="A91" s="55"/>
      <c r="B91" s="56"/>
      <c r="C91" s="56"/>
      <c r="D91" s="57"/>
      <c r="E91" s="56"/>
      <c r="F91" s="56"/>
      <c r="G91" s="58"/>
    </row>
    <row r="92" customFormat="false" ht="16.75" hidden="false" customHeight="true" outlineLevel="0" collapsed="false">
      <c r="A92" s="47"/>
      <c r="B92" s="19"/>
      <c r="C92" s="48"/>
      <c r="D92" s="59" t="s">
        <v>791</v>
      </c>
      <c r="E92" s="59"/>
      <c r="F92" s="50" t="e">
        <f aca="false">AVERAGE(F86:F90)</f>
        <v>#DIV/0!</v>
      </c>
      <c r="G92" s="51"/>
    </row>
    <row r="93" s="33" customFormat="true" ht="12.8" hidden="false" customHeight="false" outlineLevel="0" collapsed="false">
      <c r="A93" s="43"/>
      <c r="B93" s="44"/>
      <c r="C93" s="44"/>
      <c r="D93" s="60"/>
      <c r="E93" s="44"/>
      <c r="F93" s="44"/>
      <c r="G93" s="46"/>
    </row>
    <row r="94" customFormat="false" ht="25.15" hidden="false" customHeight="false" outlineLevel="0" collapsed="false">
      <c r="A94" s="61" t="s">
        <v>667</v>
      </c>
      <c r="B94" s="62" t="s">
        <v>792</v>
      </c>
      <c r="C94" s="62" t="s">
        <v>148</v>
      </c>
      <c r="D94" s="62" t="s">
        <v>793</v>
      </c>
      <c r="E94" s="62" t="s">
        <v>794</v>
      </c>
      <c r="F94" s="63"/>
      <c r="G94" s="64"/>
    </row>
    <row r="95" customFormat="false" ht="25.15" hidden="false" customHeight="false" outlineLevel="0" collapsed="false">
      <c r="A95" s="65" t="s">
        <v>667</v>
      </c>
      <c r="B95" s="4" t="s">
        <v>792</v>
      </c>
      <c r="C95" s="4" t="s">
        <v>151</v>
      </c>
      <c r="D95" s="4" t="s">
        <v>795</v>
      </c>
      <c r="E95" s="4" t="s">
        <v>796</v>
      </c>
      <c r="F95" s="42"/>
      <c r="G95" s="66"/>
    </row>
    <row r="96" customFormat="false" ht="25.15" hidden="false" customHeight="false" outlineLevel="0" collapsed="false">
      <c r="A96" s="65" t="s">
        <v>667</v>
      </c>
      <c r="B96" s="4" t="s">
        <v>792</v>
      </c>
      <c r="C96" s="4" t="s">
        <v>154</v>
      </c>
      <c r="D96" s="4" t="s">
        <v>797</v>
      </c>
      <c r="E96" s="4" t="s">
        <v>798</v>
      </c>
      <c r="F96" s="42"/>
      <c r="G96" s="66"/>
    </row>
    <row r="97" customFormat="false" ht="25.15" hidden="false" customHeight="false" outlineLevel="0" collapsed="false">
      <c r="A97" s="65" t="s">
        <v>667</v>
      </c>
      <c r="B97" s="4" t="s">
        <v>792</v>
      </c>
      <c r="C97" s="4" t="s">
        <v>157</v>
      </c>
      <c r="D97" s="4" t="s">
        <v>799</v>
      </c>
      <c r="E97" s="4" t="s">
        <v>800</v>
      </c>
      <c r="F97" s="42"/>
      <c r="G97" s="66"/>
    </row>
    <row r="98" customFormat="false" ht="25.15" hidden="false" customHeight="false" outlineLevel="0" collapsed="false">
      <c r="A98" s="67" t="s">
        <v>667</v>
      </c>
      <c r="B98" s="68" t="s">
        <v>792</v>
      </c>
      <c r="C98" s="68" t="s">
        <v>160</v>
      </c>
      <c r="D98" s="68" t="s">
        <v>801</v>
      </c>
      <c r="E98" s="68" t="s">
        <v>802</v>
      </c>
      <c r="F98" s="69"/>
      <c r="G98" s="70"/>
    </row>
    <row r="99" customFormat="false" ht="12.8" hidden="false" customHeight="false" outlineLevel="0" collapsed="false">
      <c r="A99" s="55"/>
      <c r="B99" s="56"/>
      <c r="C99" s="56"/>
      <c r="D99" s="57"/>
      <c r="E99" s="56"/>
      <c r="F99" s="56"/>
      <c r="G99" s="58"/>
    </row>
    <row r="100" customFormat="false" ht="16.75" hidden="false" customHeight="true" outlineLevel="0" collapsed="false">
      <c r="A100" s="47"/>
      <c r="B100" s="19"/>
      <c r="C100" s="48"/>
      <c r="D100" s="59" t="s">
        <v>803</v>
      </c>
      <c r="E100" s="59"/>
      <c r="F100" s="50" t="e">
        <f aca="false">AVERAGE(F94:F98)</f>
        <v>#DIV/0!</v>
      </c>
      <c r="G100" s="51"/>
    </row>
    <row r="101" s="33" customFormat="true" ht="12.8" hidden="false" customHeight="false" outlineLevel="0" collapsed="false">
      <c r="A101" s="43"/>
      <c r="B101" s="44"/>
      <c r="C101" s="44"/>
      <c r="D101" s="60"/>
      <c r="E101" s="44"/>
      <c r="F101" s="44"/>
      <c r="G101" s="46"/>
    </row>
    <row r="102" customFormat="false" ht="36.85" hidden="false" customHeight="false" outlineLevel="0" collapsed="false">
      <c r="A102" s="72" t="s">
        <v>667</v>
      </c>
      <c r="B102" s="73" t="s">
        <v>804</v>
      </c>
      <c r="C102" s="73" t="s">
        <v>148</v>
      </c>
      <c r="D102" s="73" t="s">
        <v>805</v>
      </c>
      <c r="E102" s="73" t="s">
        <v>806</v>
      </c>
      <c r="F102" s="42"/>
      <c r="G102" s="74"/>
    </row>
    <row r="103" customFormat="false" ht="36.85" hidden="false" customHeight="false" outlineLevel="0" collapsed="false">
      <c r="A103" s="75" t="s">
        <v>667</v>
      </c>
      <c r="B103" s="4" t="s">
        <v>804</v>
      </c>
      <c r="C103" s="4" t="s">
        <v>151</v>
      </c>
      <c r="D103" s="4" t="s">
        <v>807</v>
      </c>
      <c r="E103" s="4" t="s">
        <v>808</v>
      </c>
      <c r="F103" s="42"/>
      <c r="G103" s="76"/>
    </row>
    <row r="104" customFormat="false" ht="36.85" hidden="false" customHeight="false" outlineLevel="0" collapsed="false">
      <c r="A104" s="75" t="s">
        <v>667</v>
      </c>
      <c r="B104" s="4" t="s">
        <v>804</v>
      </c>
      <c r="C104" s="4" t="s">
        <v>154</v>
      </c>
      <c r="D104" s="4" t="s">
        <v>809</v>
      </c>
      <c r="E104" s="4" t="s">
        <v>810</v>
      </c>
      <c r="F104" s="42"/>
      <c r="G104" s="76"/>
    </row>
    <row r="105" customFormat="false" ht="36.85" hidden="false" customHeight="false" outlineLevel="0" collapsed="false">
      <c r="A105" s="75" t="s">
        <v>667</v>
      </c>
      <c r="B105" s="4" t="s">
        <v>804</v>
      </c>
      <c r="C105" s="4" t="s">
        <v>157</v>
      </c>
      <c r="D105" s="4" t="s">
        <v>732</v>
      </c>
      <c r="E105" s="4" t="s">
        <v>811</v>
      </c>
      <c r="F105" s="42"/>
      <c r="G105" s="76"/>
    </row>
    <row r="106" customFormat="false" ht="36.85" hidden="false" customHeight="false" outlineLevel="0" collapsed="false">
      <c r="A106" s="77" t="s">
        <v>667</v>
      </c>
      <c r="B106" s="78" t="s">
        <v>804</v>
      </c>
      <c r="C106" s="78" t="s">
        <v>160</v>
      </c>
      <c r="D106" s="78" t="s">
        <v>734</v>
      </c>
      <c r="E106" s="78" t="s">
        <v>812</v>
      </c>
      <c r="F106" s="42"/>
      <c r="G106" s="79"/>
    </row>
    <row r="107" customFormat="false" ht="12.8" hidden="false" customHeight="false" outlineLevel="0" collapsed="false">
      <c r="A107" s="55"/>
      <c r="B107" s="56"/>
      <c r="C107" s="56"/>
      <c r="D107" s="57"/>
      <c r="E107" s="56"/>
      <c r="F107" s="56"/>
      <c r="G107" s="58"/>
    </row>
    <row r="108" customFormat="false" ht="16.75" hidden="false" customHeight="true" outlineLevel="0" collapsed="false">
      <c r="A108" s="47"/>
      <c r="B108" s="19"/>
      <c r="C108" s="48"/>
      <c r="D108" s="59" t="s">
        <v>813</v>
      </c>
      <c r="E108" s="59"/>
      <c r="F108" s="50" t="e">
        <f aca="false">AVERAGE(F102:F106)</f>
        <v>#DIV/0!</v>
      </c>
      <c r="G108" s="51"/>
    </row>
    <row r="109" s="33" customFormat="true" ht="12.8" hidden="false" customHeight="false" outlineLevel="0" collapsed="false">
      <c r="A109" s="43"/>
      <c r="B109" s="44"/>
      <c r="C109" s="44"/>
      <c r="D109" s="60"/>
      <c r="E109" s="44"/>
      <c r="F109" s="44"/>
      <c r="G109" s="46"/>
    </row>
    <row r="110" customFormat="false" ht="36.85" hidden="false" customHeight="false" outlineLevel="0" collapsed="false">
      <c r="A110" s="72" t="s">
        <v>667</v>
      </c>
      <c r="B110" s="73" t="s">
        <v>814</v>
      </c>
      <c r="C110" s="73" t="s">
        <v>148</v>
      </c>
      <c r="D110" s="73" t="s">
        <v>815</v>
      </c>
      <c r="E110" s="73" t="s">
        <v>816</v>
      </c>
      <c r="F110" s="42"/>
      <c r="G110" s="74"/>
    </row>
    <row r="111" customFormat="false" ht="36.85" hidden="false" customHeight="false" outlineLevel="0" collapsed="false">
      <c r="A111" s="75" t="s">
        <v>667</v>
      </c>
      <c r="B111" s="4" t="s">
        <v>814</v>
      </c>
      <c r="C111" s="4" t="s">
        <v>151</v>
      </c>
      <c r="D111" s="4" t="s">
        <v>817</v>
      </c>
      <c r="E111" s="4" t="s">
        <v>818</v>
      </c>
      <c r="F111" s="42"/>
      <c r="G111" s="76"/>
    </row>
    <row r="112" customFormat="false" ht="36.85" hidden="false" customHeight="false" outlineLevel="0" collapsed="false">
      <c r="A112" s="75" t="s">
        <v>667</v>
      </c>
      <c r="B112" s="4" t="s">
        <v>814</v>
      </c>
      <c r="C112" s="4" t="s">
        <v>154</v>
      </c>
      <c r="D112" s="4" t="s">
        <v>819</v>
      </c>
      <c r="E112" s="4" t="s">
        <v>820</v>
      </c>
      <c r="F112" s="42"/>
      <c r="G112" s="76"/>
    </row>
    <row r="113" customFormat="false" ht="36.85" hidden="false" customHeight="false" outlineLevel="0" collapsed="false">
      <c r="A113" s="75" t="s">
        <v>667</v>
      </c>
      <c r="B113" s="4" t="s">
        <v>814</v>
      </c>
      <c r="C113" s="4" t="s">
        <v>157</v>
      </c>
      <c r="D113" s="4" t="s">
        <v>778</v>
      </c>
      <c r="E113" s="4" t="s">
        <v>821</v>
      </c>
      <c r="F113" s="42"/>
      <c r="G113" s="76"/>
    </row>
    <row r="114" customFormat="false" ht="36.85" hidden="false" customHeight="false" outlineLevel="0" collapsed="false">
      <c r="A114" s="77" t="s">
        <v>667</v>
      </c>
      <c r="B114" s="78" t="s">
        <v>814</v>
      </c>
      <c r="C114" s="78" t="s">
        <v>160</v>
      </c>
      <c r="D114" s="78" t="s">
        <v>779</v>
      </c>
      <c r="E114" s="78" t="s">
        <v>822</v>
      </c>
      <c r="F114" s="42"/>
      <c r="G114" s="79"/>
    </row>
    <row r="115" customFormat="false" ht="12.8" hidden="false" customHeight="false" outlineLevel="0" collapsed="false">
      <c r="A115" s="55"/>
      <c r="B115" s="56"/>
      <c r="C115" s="56"/>
      <c r="D115" s="57"/>
      <c r="E115" s="56"/>
      <c r="F115" s="56"/>
      <c r="G115" s="58"/>
    </row>
    <row r="116" customFormat="false" ht="16.75" hidden="false" customHeight="true" outlineLevel="0" collapsed="false">
      <c r="A116" s="47"/>
      <c r="B116" s="19"/>
      <c r="C116" s="48"/>
      <c r="D116" s="59" t="s">
        <v>823</v>
      </c>
      <c r="E116" s="59"/>
      <c r="F116" s="50" t="e">
        <f aca="false">AVERAGE(F110:F114)</f>
        <v>#DIV/0!</v>
      </c>
      <c r="G116" s="51"/>
    </row>
    <row r="117" s="33" customFormat="true" ht="12.8" hidden="false" customHeight="false" outlineLevel="0" collapsed="false">
      <c r="A117" s="43"/>
      <c r="B117" s="44"/>
      <c r="C117" s="44"/>
      <c r="D117" s="60"/>
      <c r="E117" s="44"/>
      <c r="F117" s="44"/>
      <c r="G117" s="46"/>
    </row>
  </sheetData>
  <mergeCells count="15">
    <mergeCell ref="A1:G4"/>
    <mergeCell ref="D12:E12"/>
    <mergeCell ref="D20:E20"/>
    <mergeCell ref="D28:E28"/>
    <mergeCell ref="D36:E36"/>
    <mergeCell ref="D44:E44"/>
    <mergeCell ref="D52:E52"/>
    <mergeCell ref="D60:E60"/>
    <mergeCell ref="D68:E68"/>
    <mergeCell ref="D76:E76"/>
    <mergeCell ref="D84:E84"/>
    <mergeCell ref="D92:E92"/>
    <mergeCell ref="D100:E100"/>
    <mergeCell ref="D108:E108"/>
    <mergeCell ref="D116:E11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7"/>
  <sheetViews>
    <sheetView showFormulas="false" showGridLines="true" showRowColHeaders="true" showZeros="true" rightToLeft="false" tabSelected="false" showOutlineSymbols="true" defaultGridColor="true" view="normal" topLeftCell="A185" colorId="64" zoomScale="67" zoomScaleNormal="67" zoomScalePageLayoutView="100" workbookViewId="0">
      <selection pane="topLeft" activeCell="F197" activeCellId="0" sqref="F197"/>
    </sheetView>
  </sheetViews>
  <sheetFormatPr defaultColWidth="11.53515625" defaultRowHeight="12.8" zeroHeight="false" outlineLevelRow="0" outlineLevelCol="0"/>
  <cols>
    <col collapsed="false" customWidth="true" hidden="false" outlineLevel="0" max="4" min="4" style="0" width="20.32"/>
    <col collapsed="false" customWidth="true" hidden="false" outlineLevel="0" max="5" min="5" style="0" width="16.29"/>
    <col collapsed="false" customWidth="true" hidden="false" outlineLevel="0" max="7" min="7" style="0" width="22.57"/>
  </cols>
  <sheetData>
    <row r="1" customFormat="false" ht="12.8" hidden="false" customHeight="false" outlineLevel="0" collapsed="false">
      <c r="A1" s="34" t="s">
        <v>824</v>
      </c>
      <c r="B1" s="34"/>
      <c r="C1" s="34"/>
      <c r="D1" s="34"/>
      <c r="E1" s="34"/>
      <c r="F1" s="34"/>
      <c r="G1" s="34"/>
    </row>
    <row r="2" customFormat="false" ht="12.8" hidden="false" customHeight="false" outlineLevel="0" collapsed="false">
      <c r="A2" s="34"/>
      <c r="B2" s="34"/>
      <c r="C2" s="34"/>
      <c r="D2" s="34"/>
      <c r="E2" s="34"/>
      <c r="F2" s="34"/>
      <c r="G2" s="34"/>
    </row>
    <row r="3" customFormat="false" ht="12.8" hidden="false" customHeight="false" outlineLevel="0" collapsed="false">
      <c r="A3" s="34"/>
      <c r="B3" s="34"/>
      <c r="C3" s="34"/>
      <c r="D3" s="34"/>
      <c r="E3" s="34"/>
      <c r="F3" s="34"/>
      <c r="G3" s="34"/>
    </row>
    <row r="4" customFormat="false" ht="12.8" hidden="false" customHeight="false" outlineLevel="0" collapsed="false">
      <c r="A4" s="34"/>
      <c r="B4" s="34"/>
      <c r="C4" s="34"/>
      <c r="D4" s="34"/>
      <c r="E4" s="34"/>
      <c r="F4" s="34"/>
      <c r="G4" s="34"/>
    </row>
    <row r="5" customFormat="false" ht="28.5" hidden="false" customHeight="false" outlineLevel="0" collapsed="false">
      <c r="A5" s="35" t="s">
        <v>105</v>
      </c>
      <c r="B5" s="36" t="s">
        <v>106</v>
      </c>
      <c r="C5" s="36" t="s">
        <v>143</v>
      </c>
      <c r="D5" s="36" t="s">
        <v>144</v>
      </c>
      <c r="E5" s="36" t="s">
        <v>109</v>
      </c>
      <c r="F5" s="36" t="s">
        <v>145</v>
      </c>
      <c r="G5" s="37" t="s">
        <v>146</v>
      </c>
    </row>
    <row r="6" customFormat="false" ht="54.5" hidden="false" customHeight="true" outlineLevel="0" collapsed="false">
      <c r="A6" s="72" t="s">
        <v>824</v>
      </c>
      <c r="B6" s="73" t="s">
        <v>825</v>
      </c>
      <c r="C6" s="73" t="s">
        <v>148</v>
      </c>
      <c r="D6" s="73" t="s">
        <v>826</v>
      </c>
      <c r="E6" s="73" t="s">
        <v>827</v>
      </c>
      <c r="F6" s="42"/>
      <c r="G6" s="74"/>
    </row>
    <row r="7" customFormat="false" ht="35.2" hidden="false" customHeight="true" outlineLevel="0" collapsed="false">
      <c r="A7" s="75" t="s">
        <v>824</v>
      </c>
      <c r="B7" s="4" t="s">
        <v>825</v>
      </c>
      <c r="C7" s="4" t="s">
        <v>151</v>
      </c>
      <c r="D7" s="4" t="s">
        <v>828</v>
      </c>
      <c r="E7" s="4" t="s">
        <v>829</v>
      </c>
      <c r="F7" s="42"/>
      <c r="G7" s="76"/>
    </row>
    <row r="8" customFormat="false" ht="36.05" hidden="false" customHeight="true" outlineLevel="0" collapsed="false">
      <c r="A8" s="75" t="s">
        <v>824</v>
      </c>
      <c r="B8" s="4" t="s">
        <v>825</v>
      </c>
      <c r="C8" s="4" t="s">
        <v>154</v>
      </c>
      <c r="D8" s="4" t="s">
        <v>830</v>
      </c>
      <c r="E8" s="4" t="s">
        <v>831</v>
      </c>
      <c r="F8" s="42"/>
      <c r="G8" s="76"/>
    </row>
    <row r="9" customFormat="false" ht="25.15" hidden="false" customHeight="true" outlineLevel="0" collapsed="false">
      <c r="A9" s="75" t="s">
        <v>824</v>
      </c>
      <c r="B9" s="4" t="s">
        <v>825</v>
      </c>
      <c r="C9" s="4" t="s">
        <v>157</v>
      </c>
      <c r="D9" s="4" t="s">
        <v>832</v>
      </c>
      <c r="E9" s="4" t="s">
        <v>833</v>
      </c>
      <c r="F9" s="42"/>
      <c r="G9" s="76"/>
    </row>
    <row r="10" customFormat="false" ht="29.3" hidden="false" customHeight="true" outlineLevel="0" collapsed="false">
      <c r="A10" s="77" t="s">
        <v>824</v>
      </c>
      <c r="B10" s="78" t="s">
        <v>825</v>
      </c>
      <c r="C10" s="78" t="s">
        <v>160</v>
      </c>
      <c r="D10" s="78" t="s">
        <v>834</v>
      </c>
      <c r="E10" s="78" t="s">
        <v>835</v>
      </c>
      <c r="F10" s="42"/>
      <c r="G10" s="79"/>
    </row>
    <row r="11" customFormat="false" ht="12.8" hidden="false" customHeight="false" outlineLevel="0" collapsed="false">
      <c r="A11" s="55"/>
      <c r="B11" s="56"/>
      <c r="C11" s="56"/>
      <c r="D11" s="57"/>
      <c r="E11" s="56"/>
      <c r="F11" s="56"/>
      <c r="G11" s="58"/>
    </row>
    <row r="12" customFormat="false" ht="16.75" hidden="false" customHeight="true" outlineLevel="0" collapsed="false">
      <c r="A12" s="47"/>
      <c r="B12" s="19"/>
      <c r="C12" s="48"/>
      <c r="D12" s="59" t="s">
        <v>836</v>
      </c>
      <c r="E12" s="59"/>
      <c r="F12" s="50" t="e">
        <f aca="false">AVERAGE(F6:F10)</f>
        <v>#DIV/0!</v>
      </c>
      <c r="G12" s="51"/>
    </row>
    <row r="13" s="33" customFormat="true" ht="12.8" hidden="false" customHeight="false" outlineLevel="0" collapsed="false">
      <c r="A13" s="43"/>
      <c r="B13" s="44"/>
      <c r="C13" s="44"/>
      <c r="D13" s="60"/>
      <c r="E13" s="44"/>
      <c r="F13" s="44"/>
      <c r="G13" s="46"/>
    </row>
    <row r="14" customFormat="false" ht="36.85" hidden="false" customHeight="false" outlineLevel="0" collapsed="false">
      <c r="A14" s="4" t="s">
        <v>824</v>
      </c>
      <c r="B14" s="4" t="s">
        <v>837</v>
      </c>
      <c r="C14" s="4" t="s">
        <v>148</v>
      </c>
      <c r="D14" s="4" t="s">
        <v>838</v>
      </c>
      <c r="E14" s="4" t="s">
        <v>839</v>
      </c>
      <c r="F14" s="42"/>
      <c r="G14" s="10"/>
    </row>
    <row r="15" customFormat="false" ht="25.15" hidden="false" customHeight="false" outlineLevel="0" collapsed="false">
      <c r="A15" s="4" t="s">
        <v>824</v>
      </c>
      <c r="B15" s="4" t="s">
        <v>837</v>
      </c>
      <c r="C15" s="4" t="s">
        <v>151</v>
      </c>
      <c r="D15" s="4" t="s">
        <v>840</v>
      </c>
      <c r="E15" s="4" t="s">
        <v>841</v>
      </c>
      <c r="F15" s="42"/>
      <c r="G15" s="10"/>
    </row>
    <row r="16" customFormat="false" ht="25.15" hidden="false" customHeight="false" outlineLevel="0" collapsed="false">
      <c r="A16" s="4" t="s">
        <v>824</v>
      </c>
      <c r="B16" s="4" t="s">
        <v>837</v>
      </c>
      <c r="C16" s="4" t="s">
        <v>154</v>
      </c>
      <c r="D16" s="4" t="s">
        <v>842</v>
      </c>
      <c r="E16" s="4" t="s">
        <v>843</v>
      </c>
      <c r="F16" s="42"/>
      <c r="G16" s="10"/>
    </row>
    <row r="17" customFormat="false" ht="25.15" hidden="false" customHeight="false" outlineLevel="0" collapsed="false">
      <c r="A17" s="4" t="s">
        <v>824</v>
      </c>
      <c r="B17" s="4" t="s">
        <v>837</v>
      </c>
      <c r="C17" s="4" t="s">
        <v>157</v>
      </c>
      <c r="D17" s="4" t="s">
        <v>844</v>
      </c>
      <c r="E17" s="4" t="s">
        <v>845</v>
      </c>
      <c r="F17" s="42"/>
      <c r="G17" s="10"/>
    </row>
    <row r="18" customFormat="false" ht="25.15" hidden="false" customHeight="false" outlineLevel="0" collapsed="false">
      <c r="A18" s="4" t="s">
        <v>824</v>
      </c>
      <c r="B18" s="4" t="s">
        <v>837</v>
      </c>
      <c r="C18" s="4" t="s">
        <v>160</v>
      </c>
      <c r="D18" s="4" t="s">
        <v>846</v>
      </c>
      <c r="E18" s="4" t="s">
        <v>847</v>
      </c>
      <c r="F18" s="42"/>
      <c r="G18" s="10"/>
    </row>
    <row r="19" customFormat="false" ht="12.8" hidden="false" customHeight="false" outlineLevel="0" collapsed="false">
      <c r="A19" s="55"/>
      <c r="B19" s="56"/>
      <c r="C19" s="56"/>
      <c r="D19" s="57"/>
      <c r="E19" s="56"/>
      <c r="F19" s="56"/>
      <c r="G19" s="58"/>
    </row>
    <row r="20" customFormat="false" ht="16.75" hidden="false" customHeight="true" outlineLevel="0" collapsed="false">
      <c r="A20" s="47"/>
      <c r="B20" s="19"/>
      <c r="C20" s="48"/>
      <c r="D20" s="59" t="s">
        <v>848</v>
      </c>
      <c r="E20" s="59"/>
      <c r="F20" s="50" t="e">
        <f aca="false">AVERAGE(F14:F18)</f>
        <v>#DIV/0!</v>
      </c>
      <c r="G20" s="51"/>
    </row>
    <row r="21" s="33" customFormat="true" ht="12.8" hidden="false" customHeight="false" outlineLevel="0" collapsed="false">
      <c r="A21" s="43"/>
      <c r="B21" s="44"/>
      <c r="C21" s="44"/>
      <c r="D21" s="60"/>
      <c r="E21" s="44"/>
      <c r="F21" s="44"/>
      <c r="G21" s="46"/>
    </row>
    <row r="22" customFormat="false" ht="48.6" hidden="false" customHeight="false" outlineLevel="0" collapsed="false">
      <c r="A22" s="72" t="s">
        <v>824</v>
      </c>
      <c r="B22" s="73" t="s">
        <v>849</v>
      </c>
      <c r="C22" s="73" t="s">
        <v>148</v>
      </c>
      <c r="D22" s="73" t="s">
        <v>850</v>
      </c>
      <c r="E22" s="73" t="s">
        <v>851</v>
      </c>
      <c r="F22" s="42"/>
      <c r="G22" s="74"/>
    </row>
    <row r="23" customFormat="false" ht="25.15" hidden="false" customHeight="false" outlineLevel="0" collapsed="false">
      <c r="A23" s="75" t="s">
        <v>824</v>
      </c>
      <c r="B23" s="4" t="s">
        <v>849</v>
      </c>
      <c r="C23" s="4" t="s">
        <v>151</v>
      </c>
      <c r="D23" s="4" t="s">
        <v>852</v>
      </c>
      <c r="E23" s="4" t="s">
        <v>853</v>
      </c>
      <c r="F23" s="42"/>
      <c r="G23" s="76"/>
    </row>
    <row r="24" customFormat="false" ht="25.15" hidden="false" customHeight="false" outlineLevel="0" collapsed="false">
      <c r="A24" s="75" t="s">
        <v>824</v>
      </c>
      <c r="B24" s="4" t="s">
        <v>849</v>
      </c>
      <c r="C24" s="4" t="s">
        <v>154</v>
      </c>
      <c r="D24" s="4" t="s">
        <v>854</v>
      </c>
      <c r="E24" s="4" t="s">
        <v>855</v>
      </c>
      <c r="F24" s="42"/>
      <c r="G24" s="76"/>
    </row>
    <row r="25" customFormat="false" ht="25.15" hidden="false" customHeight="false" outlineLevel="0" collapsed="false">
      <c r="A25" s="75" t="s">
        <v>824</v>
      </c>
      <c r="B25" s="4" t="s">
        <v>849</v>
      </c>
      <c r="C25" s="4" t="s">
        <v>157</v>
      </c>
      <c r="D25" s="4" t="s">
        <v>856</v>
      </c>
      <c r="E25" s="4" t="s">
        <v>857</v>
      </c>
      <c r="F25" s="42"/>
      <c r="G25" s="76"/>
    </row>
    <row r="26" customFormat="false" ht="25.15" hidden="false" customHeight="false" outlineLevel="0" collapsed="false">
      <c r="A26" s="77" t="s">
        <v>824</v>
      </c>
      <c r="B26" s="78" t="s">
        <v>849</v>
      </c>
      <c r="C26" s="78" t="s">
        <v>160</v>
      </c>
      <c r="D26" s="78" t="s">
        <v>858</v>
      </c>
      <c r="E26" s="78" t="s">
        <v>859</v>
      </c>
      <c r="F26" s="42"/>
      <c r="G26" s="79"/>
    </row>
    <row r="27" customFormat="false" ht="12.8" hidden="false" customHeight="false" outlineLevel="0" collapsed="false">
      <c r="A27" s="55"/>
      <c r="B27" s="56"/>
      <c r="C27" s="56"/>
      <c r="D27" s="57"/>
      <c r="E27" s="56"/>
      <c r="F27" s="56"/>
      <c r="G27" s="58"/>
    </row>
    <row r="28" customFormat="false" ht="16.75" hidden="false" customHeight="true" outlineLevel="0" collapsed="false">
      <c r="A28" s="47"/>
      <c r="B28" s="19"/>
      <c r="C28" s="48"/>
      <c r="D28" s="59" t="s">
        <v>860</v>
      </c>
      <c r="E28" s="59"/>
      <c r="F28" s="50" t="e">
        <f aca="false">AVERAGE(F22:F26)</f>
        <v>#DIV/0!</v>
      </c>
      <c r="G28" s="51"/>
    </row>
    <row r="29" s="33" customFormat="true" ht="12.8" hidden="false" customHeight="false" outlineLevel="0" collapsed="false">
      <c r="A29" s="43"/>
      <c r="B29" s="44"/>
      <c r="C29" s="44"/>
      <c r="D29" s="60"/>
      <c r="E29" s="44"/>
      <c r="F29" s="44"/>
      <c r="G29" s="46"/>
    </row>
    <row r="30" customFormat="false" ht="48.6" hidden="false" customHeight="false" outlineLevel="0" collapsed="false">
      <c r="A30" s="72" t="s">
        <v>824</v>
      </c>
      <c r="B30" s="73" t="s">
        <v>861</v>
      </c>
      <c r="C30" s="73" t="s">
        <v>148</v>
      </c>
      <c r="D30" s="73" t="s">
        <v>862</v>
      </c>
      <c r="E30" s="73" t="s">
        <v>863</v>
      </c>
      <c r="F30" s="42"/>
      <c r="G30" s="74"/>
    </row>
    <row r="31" customFormat="false" ht="25.15" hidden="false" customHeight="false" outlineLevel="0" collapsed="false">
      <c r="A31" s="75" t="s">
        <v>824</v>
      </c>
      <c r="B31" s="4" t="s">
        <v>861</v>
      </c>
      <c r="C31" s="4" t="s">
        <v>151</v>
      </c>
      <c r="D31" s="4" t="s">
        <v>864</v>
      </c>
      <c r="E31" s="4" t="s">
        <v>865</v>
      </c>
      <c r="F31" s="42"/>
      <c r="G31" s="76"/>
    </row>
    <row r="32" customFormat="false" ht="25.15" hidden="false" customHeight="false" outlineLevel="0" collapsed="false">
      <c r="A32" s="75" t="s">
        <v>824</v>
      </c>
      <c r="B32" s="4" t="s">
        <v>861</v>
      </c>
      <c r="C32" s="4" t="s">
        <v>154</v>
      </c>
      <c r="D32" s="4" t="s">
        <v>866</v>
      </c>
      <c r="E32" s="4" t="s">
        <v>867</v>
      </c>
      <c r="F32" s="42"/>
      <c r="G32" s="76"/>
    </row>
    <row r="33" customFormat="false" ht="25.15" hidden="false" customHeight="false" outlineLevel="0" collapsed="false">
      <c r="A33" s="75" t="s">
        <v>824</v>
      </c>
      <c r="B33" s="4" t="s">
        <v>861</v>
      </c>
      <c r="C33" s="4" t="s">
        <v>157</v>
      </c>
      <c r="D33" s="4" t="s">
        <v>868</v>
      </c>
      <c r="E33" s="4" t="s">
        <v>869</v>
      </c>
      <c r="F33" s="42"/>
      <c r="G33" s="76"/>
    </row>
    <row r="34" customFormat="false" ht="25.15" hidden="false" customHeight="false" outlineLevel="0" collapsed="false">
      <c r="A34" s="77" t="s">
        <v>824</v>
      </c>
      <c r="B34" s="78" t="s">
        <v>861</v>
      </c>
      <c r="C34" s="78" t="s">
        <v>160</v>
      </c>
      <c r="D34" s="78" t="s">
        <v>870</v>
      </c>
      <c r="E34" s="78" t="s">
        <v>871</v>
      </c>
      <c r="F34" s="42"/>
      <c r="G34" s="79"/>
    </row>
    <row r="35" customFormat="false" ht="12.8" hidden="false" customHeight="false" outlineLevel="0" collapsed="false">
      <c r="A35" s="55"/>
      <c r="B35" s="56"/>
      <c r="C35" s="56"/>
      <c r="D35" s="57"/>
      <c r="E35" s="56"/>
      <c r="F35" s="56"/>
      <c r="G35" s="58"/>
    </row>
    <row r="36" customFormat="false" ht="16.75" hidden="false" customHeight="true" outlineLevel="0" collapsed="false">
      <c r="A36" s="47"/>
      <c r="B36" s="19"/>
      <c r="C36" s="48"/>
      <c r="D36" s="59" t="s">
        <v>872</v>
      </c>
      <c r="E36" s="59"/>
      <c r="F36" s="50" t="e">
        <f aca="false">AVERAGE(F30:F34)</f>
        <v>#DIV/0!</v>
      </c>
      <c r="G36" s="51"/>
    </row>
    <row r="37" s="33" customFormat="true" ht="12.8" hidden="false" customHeight="false" outlineLevel="0" collapsed="false">
      <c r="A37" s="43"/>
      <c r="B37" s="44"/>
      <c r="C37" s="44"/>
      <c r="D37" s="60"/>
      <c r="E37" s="44"/>
      <c r="F37" s="44"/>
      <c r="G37" s="46"/>
    </row>
    <row r="38" customFormat="false" ht="36.85" hidden="false" customHeight="false" outlineLevel="0" collapsed="false">
      <c r="A38" s="72" t="s">
        <v>824</v>
      </c>
      <c r="B38" s="73" t="s">
        <v>873</v>
      </c>
      <c r="C38" s="73" t="s">
        <v>148</v>
      </c>
      <c r="D38" s="73" t="s">
        <v>874</v>
      </c>
      <c r="E38" s="73" t="s">
        <v>875</v>
      </c>
      <c r="F38" s="42"/>
      <c r="G38" s="74"/>
    </row>
    <row r="39" customFormat="false" ht="36.85" hidden="false" customHeight="false" outlineLevel="0" collapsed="false">
      <c r="A39" s="75" t="s">
        <v>824</v>
      </c>
      <c r="B39" s="4" t="s">
        <v>873</v>
      </c>
      <c r="C39" s="4" t="s">
        <v>151</v>
      </c>
      <c r="D39" s="4" t="s">
        <v>876</v>
      </c>
      <c r="E39" s="4" t="s">
        <v>877</v>
      </c>
      <c r="F39" s="42"/>
      <c r="G39" s="76"/>
    </row>
    <row r="40" customFormat="false" ht="36.85" hidden="false" customHeight="false" outlineLevel="0" collapsed="false">
      <c r="A40" s="75" t="s">
        <v>824</v>
      </c>
      <c r="B40" s="4" t="s">
        <v>873</v>
      </c>
      <c r="C40" s="4" t="s">
        <v>154</v>
      </c>
      <c r="D40" s="4" t="s">
        <v>878</v>
      </c>
      <c r="E40" s="4" t="s">
        <v>879</v>
      </c>
      <c r="F40" s="42"/>
      <c r="G40" s="76"/>
    </row>
    <row r="41" customFormat="false" ht="36.85" hidden="false" customHeight="false" outlineLevel="0" collapsed="false">
      <c r="A41" s="75" t="s">
        <v>824</v>
      </c>
      <c r="B41" s="4" t="s">
        <v>873</v>
      </c>
      <c r="C41" s="4" t="s">
        <v>157</v>
      </c>
      <c r="D41" s="4" t="s">
        <v>880</v>
      </c>
      <c r="E41" s="4" t="s">
        <v>881</v>
      </c>
      <c r="F41" s="42"/>
      <c r="G41" s="76"/>
    </row>
    <row r="42" customFormat="false" ht="36.85" hidden="false" customHeight="false" outlineLevel="0" collapsed="false">
      <c r="A42" s="77" t="s">
        <v>824</v>
      </c>
      <c r="B42" s="78" t="s">
        <v>873</v>
      </c>
      <c r="C42" s="78" t="s">
        <v>160</v>
      </c>
      <c r="D42" s="78" t="s">
        <v>882</v>
      </c>
      <c r="E42" s="78" t="s">
        <v>883</v>
      </c>
      <c r="F42" s="42"/>
      <c r="G42" s="79"/>
    </row>
    <row r="43" customFormat="false" ht="12.8" hidden="false" customHeight="false" outlineLevel="0" collapsed="false">
      <c r="A43" s="55"/>
      <c r="B43" s="56"/>
      <c r="C43" s="56"/>
      <c r="D43" s="57"/>
      <c r="E43" s="56"/>
      <c r="F43" s="56"/>
      <c r="G43" s="58"/>
    </row>
    <row r="44" customFormat="false" ht="16.75" hidden="false" customHeight="true" outlineLevel="0" collapsed="false">
      <c r="A44" s="47"/>
      <c r="B44" s="19"/>
      <c r="C44" s="48"/>
      <c r="D44" s="59" t="s">
        <v>884</v>
      </c>
      <c r="E44" s="59"/>
      <c r="F44" s="50" t="e">
        <f aca="false">AVERAGE(F38:F42)</f>
        <v>#DIV/0!</v>
      </c>
      <c r="G44" s="51"/>
    </row>
    <row r="45" s="33" customFormat="true" ht="12.8" hidden="false" customHeight="false" outlineLevel="0" collapsed="false">
      <c r="A45" s="43"/>
      <c r="B45" s="44"/>
      <c r="C45" s="44"/>
      <c r="D45" s="60"/>
      <c r="E45" s="44"/>
      <c r="F45" s="44"/>
      <c r="G45" s="46"/>
    </row>
    <row r="46" customFormat="false" ht="36.85" hidden="false" customHeight="false" outlineLevel="0" collapsed="false">
      <c r="A46" s="72" t="s">
        <v>824</v>
      </c>
      <c r="B46" s="73" t="s">
        <v>885</v>
      </c>
      <c r="C46" s="73" t="s">
        <v>148</v>
      </c>
      <c r="D46" s="73" t="s">
        <v>886</v>
      </c>
      <c r="E46" s="73" t="s">
        <v>887</v>
      </c>
      <c r="F46" s="42"/>
      <c r="G46" s="74"/>
    </row>
    <row r="47" customFormat="false" ht="25.15" hidden="false" customHeight="false" outlineLevel="0" collapsed="false">
      <c r="A47" s="75" t="s">
        <v>824</v>
      </c>
      <c r="B47" s="4" t="s">
        <v>885</v>
      </c>
      <c r="C47" s="4" t="s">
        <v>151</v>
      </c>
      <c r="D47" s="4" t="s">
        <v>888</v>
      </c>
      <c r="E47" s="4" t="s">
        <v>889</v>
      </c>
      <c r="F47" s="42"/>
      <c r="G47" s="76"/>
    </row>
    <row r="48" customFormat="false" ht="25.15" hidden="false" customHeight="false" outlineLevel="0" collapsed="false">
      <c r="A48" s="75" t="s">
        <v>824</v>
      </c>
      <c r="B48" s="4" t="s">
        <v>885</v>
      </c>
      <c r="C48" s="4" t="s">
        <v>154</v>
      </c>
      <c r="D48" s="4" t="s">
        <v>890</v>
      </c>
      <c r="E48" s="4" t="s">
        <v>891</v>
      </c>
      <c r="F48" s="42"/>
      <c r="G48" s="76"/>
    </row>
    <row r="49" customFormat="false" ht="25.15" hidden="false" customHeight="false" outlineLevel="0" collapsed="false">
      <c r="A49" s="75" t="s">
        <v>824</v>
      </c>
      <c r="B49" s="4" t="s">
        <v>885</v>
      </c>
      <c r="C49" s="4" t="s">
        <v>157</v>
      </c>
      <c r="D49" s="4" t="s">
        <v>892</v>
      </c>
      <c r="E49" s="4" t="s">
        <v>893</v>
      </c>
      <c r="F49" s="42"/>
      <c r="G49" s="76"/>
    </row>
    <row r="50" customFormat="false" ht="25.15" hidden="false" customHeight="false" outlineLevel="0" collapsed="false">
      <c r="A50" s="77" t="s">
        <v>824</v>
      </c>
      <c r="B50" s="78" t="s">
        <v>885</v>
      </c>
      <c r="C50" s="78" t="s">
        <v>160</v>
      </c>
      <c r="D50" s="78" t="s">
        <v>894</v>
      </c>
      <c r="E50" s="78" t="s">
        <v>895</v>
      </c>
      <c r="F50" s="42"/>
      <c r="G50" s="79"/>
    </row>
    <row r="51" customFormat="false" ht="12.8" hidden="false" customHeight="false" outlineLevel="0" collapsed="false">
      <c r="A51" s="55"/>
      <c r="B51" s="56"/>
      <c r="C51" s="56"/>
      <c r="D51" s="57"/>
      <c r="E51" s="56"/>
      <c r="F51" s="56"/>
      <c r="G51" s="58"/>
    </row>
    <row r="52" customFormat="false" ht="16.75" hidden="false" customHeight="true" outlineLevel="0" collapsed="false">
      <c r="A52" s="47"/>
      <c r="B52" s="19"/>
      <c r="C52" s="48"/>
      <c r="D52" s="59" t="s">
        <v>307</v>
      </c>
      <c r="E52" s="59"/>
      <c r="F52" s="50" t="e">
        <f aca="false">AVERAGE(F46:F50)</f>
        <v>#DIV/0!</v>
      </c>
      <c r="G52" s="51"/>
    </row>
    <row r="53" s="33" customFormat="true" ht="12.8" hidden="false" customHeight="false" outlineLevel="0" collapsed="false">
      <c r="A53" s="43"/>
      <c r="B53" s="44"/>
      <c r="C53" s="44"/>
      <c r="D53" s="60"/>
      <c r="E53" s="44"/>
      <c r="F53" s="44"/>
      <c r="G53" s="46"/>
    </row>
    <row r="54" customFormat="false" ht="36.85" hidden="false" customHeight="false" outlineLevel="0" collapsed="false">
      <c r="A54" s="72" t="s">
        <v>824</v>
      </c>
      <c r="B54" s="73" t="s">
        <v>896</v>
      </c>
      <c r="C54" s="73" t="s">
        <v>148</v>
      </c>
      <c r="D54" s="73" t="s">
        <v>897</v>
      </c>
      <c r="E54" s="73" t="s">
        <v>898</v>
      </c>
      <c r="F54" s="42"/>
      <c r="G54" s="74"/>
    </row>
    <row r="55" customFormat="false" ht="36.85" hidden="false" customHeight="false" outlineLevel="0" collapsed="false">
      <c r="A55" s="75" t="s">
        <v>824</v>
      </c>
      <c r="B55" s="4" t="s">
        <v>896</v>
      </c>
      <c r="C55" s="4" t="s">
        <v>151</v>
      </c>
      <c r="D55" s="4" t="s">
        <v>899</v>
      </c>
      <c r="E55" s="4" t="s">
        <v>900</v>
      </c>
      <c r="F55" s="42"/>
      <c r="G55" s="76"/>
    </row>
    <row r="56" customFormat="false" ht="36.85" hidden="false" customHeight="false" outlineLevel="0" collapsed="false">
      <c r="A56" s="75" t="s">
        <v>824</v>
      </c>
      <c r="B56" s="4" t="s">
        <v>896</v>
      </c>
      <c r="C56" s="4" t="s">
        <v>154</v>
      </c>
      <c r="D56" s="4" t="s">
        <v>901</v>
      </c>
      <c r="E56" s="4" t="s">
        <v>902</v>
      </c>
      <c r="F56" s="42"/>
      <c r="G56" s="76"/>
    </row>
    <row r="57" customFormat="false" ht="36.85" hidden="false" customHeight="false" outlineLevel="0" collapsed="false">
      <c r="A57" s="75" t="s">
        <v>824</v>
      </c>
      <c r="B57" s="4" t="s">
        <v>896</v>
      </c>
      <c r="C57" s="4" t="s">
        <v>157</v>
      </c>
      <c r="D57" s="4" t="s">
        <v>778</v>
      </c>
      <c r="E57" s="4" t="s">
        <v>903</v>
      </c>
      <c r="F57" s="42"/>
      <c r="G57" s="76"/>
    </row>
    <row r="58" customFormat="false" ht="36.85" hidden="false" customHeight="false" outlineLevel="0" collapsed="false">
      <c r="A58" s="77" t="s">
        <v>824</v>
      </c>
      <c r="B58" s="78" t="s">
        <v>896</v>
      </c>
      <c r="C58" s="78" t="s">
        <v>160</v>
      </c>
      <c r="D58" s="78" t="s">
        <v>904</v>
      </c>
      <c r="E58" s="78" t="s">
        <v>905</v>
      </c>
      <c r="F58" s="42"/>
      <c r="G58" s="79"/>
    </row>
    <row r="59" customFormat="false" ht="12.8" hidden="false" customHeight="false" outlineLevel="0" collapsed="false">
      <c r="A59" s="55"/>
      <c r="B59" s="56"/>
      <c r="C59" s="56"/>
      <c r="D59" s="57"/>
      <c r="E59" s="56"/>
      <c r="F59" s="56"/>
      <c r="G59" s="58"/>
    </row>
    <row r="60" customFormat="false" ht="16.75" hidden="false" customHeight="true" outlineLevel="0" collapsed="false">
      <c r="A60" s="47"/>
      <c r="B60" s="19"/>
      <c r="C60" s="48"/>
      <c r="D60" s="59" t="s">
        <v>906</v>
      </c>
      <c r="E60" s="59"/>
      <c r="F60" s="50" t="e">
        <f aca="false">AVERAGE(F54:F58)</f>
        <v>#DIV/0!</v>
      </c>
      <c r="G60" s="51"/>
    </row>
    <row r="61" s="33" customFormat="true" ht="12.8" hidden="false" customHeight="false" outlineLevel="0" collapsed="false">
      <c r="A61" s="43"/>
      <c r="B61" s="44"/>
      <c r="C61" s="44"/>
      <c r="D61" s="60"/>
      <c r="E61" s="44"/>
      <c r="F61" s="44"/>
      <c r="G61" s="46"/>
    </row>
    <row r="62" customFormat="false" ht="36.85" hidden="false" customHeight="false" outlineLevel="0" collapsed="false">
      <c r="A62" s="72" t="s">
        <v>824</v>
      </c>
      <c r="B62" s="73" t="s">
        <v>907</v>
      </c>
      <c r="C62" s="73" t="s">
        <v>148</v>
      </c>
      <c r="D62" s="73" t="s">
        <v>908</v>
      </c>
      <c r="E62" s="73" t="s">
        <v>909</v>
      </c>
      <c r="F62" s="42"/>
      <c r="G62" s="74"/>
    </row>
    <row r="63" customFormat="false" ht="36.85" hidden="false" customHeight="false" outlineLevel="0" collapsed="false">
      <c r="A63" s="75" t="s">
        <v>824</v>
      </c>
      <c r="B63" s="4" t="s">
        <v>907</v>
      </c>
      <c r="C63" s="4" t="s">
        <v>151</v>
      </c>
      <c r="D63" s="4" t="s">
        <v>910</v>
      </c>
      <c r="E63" s="4" t="s">
        <v>911</v>
      </c>
      <c r="F63" s="42"/>
      <c r="G63" s="76"/>
    </row>
    <row r="64" customFormat="false" ht="36.85" hidden="false" customHeight="false" outlineLevel="0" collapsed="false">
      <c r="A64" s="75" t="s">
        <v>824</v>
      </c>
      <c r="B64" s="4" t="s">
        <v>907</v>
      </c>
      <c r="C64" s="4" t="s">
        <v>154</v>
      </c>
      <c r="D64" s="4" t="s">
        <v>912</v>
      </c>
      <c r="E64" s="4" t="s">
        <v>913</v>
      </c>
      <c r="F64" s="42"/>
      <c r="G64" s="76"/>
    </row>
    <row r="65" customFormat="false" ht="36.85" hidden="false" customHeight="false" outlineLevel="0" collapsed="false">
      <c r="A65" s="75" t="s">
        <v>824</v>
      </c>
      <c r="B65" s="4" t="s">
        <v>907</v>
      </c>
      <c r="C65" s="4" t="s">
        <v>157</v>
      </c>
      <c r="D65" s="4" t="s">
        <v>914</v>
      </c>
      <c r="E65" s="4" t="s">
        <v>915</v>
      </c>
      <c r="F65" s="42"/>
      <c r="G65" s="76"/>
    </row>
    <row r="66" customFormat="false" ht="36.85" hidden="false" customHeight="false" outlineLevel="0" collapsed="false">
      <c r="A66" s="77" t="s">
        <v>824</v>
      </c>
      <c r="B66" s="78" t="s">
        <v>907</v>
      </c>
      <c r="C66" s="78" t="s">
        <v>160</v>
      </c>
      <c r="D66" s="78" t="s">
        <v>846</v>
      </c>
      <c r="E66" s="78" t="s">
        <v>916</v>
      </c>
      <c r="F66" s="42"/>
      <c r="G66" s="79"/>
    </row>
    <row r="67" customFormat="false" ht="12.8" hidden="false" customHeight="false" outlineLevel="0" collapsed="false">
      <c r="A67" s="55"/>
      <c r="B67" s="56"/>
      <c r="C67" s="56"/>
      <c r="D67" s="57"/>
      <c r="E67" s="56"/>
      <c r="F67" s="56"/>
      <c r="G67" s="58"/>
    </row>
    <row r="68" customFormat="false" ht="16.75" hidden="false" customHeight="true" outlineLevel="0" collapsed="false">
      <c r="A68" s="47"/>
      <c r="B68" s="19"/>
      <c r="C68" s="48"/>
      <c r="D68" s="59" t="s">
        <v>917</v>
      </c>
      <c r="E68" s="59"/>
      <c r="F68" s="50" t="e">
        <f aca="false">AVERAGE(F62:F66)</f>
        <v>#DIV/0!</v>
      </c>
      <c r="G68" s="51"/>
    </row>
    <row r="69" s="33" customFormat="true" ht="12.8" hidden="false" customHeight="false" outlineLevel="0" collapsed="false">
      <c r="A69" s="43"/>
      <c r="B69" s="44"/>
      <c r="C69" s="44"/>
      <c r="D69" s="60"/>
      <c r="E69" s="44"/>
      <c r="F69" s="44"/>
      <c r="G69" s="46"/>
    </row>
    <row r="70" customFormat="false" ht="36.85" hidden="false" customHeight="false" outlineLevel="0" collapsed="false">
      <c r="A70" s="72" t="s">
        <v>824</v>
      </c>
      <c r="B70" s="73" t="s">
        <v>524</v>
      </c>
      <c r="C70" s="73" t="s">
        <v>148</v>
      </c>
      <c r="D70" s="73" t="s">
        <v>918</v>
      </c>
      <c r="E70" s="73" t="s">
        <v>526</v>
      </c>
      <c r="F70" s="42"/>
      <c r="G70" s="74"/>
    </row>
    <row r="71" customFormat="false" ht="25.15" hidden="false" customHeight="false" outlineLevel="0" collapsed="false">
      <c r="A71" s="75" t="s">
        <v>824</v>
      </c>
      <c r="B71" s="4" t="s">
        <v>524</v>
      </c>
      <c r="C71" s="4" t="s">
        <v>151</v>
      </c>
      <c r="D71" s="4" t="s">
        <v>919</v>
      </c>
      <c r="E71" s="4" t="s">
        <v>920</v>
      </c>
      <c r="F71" s="42"/>
      <c r="G71" s="76"/>
    </row>
    <row r="72" customFormat="false" ht="25.15" hidden="false" customHeight="false" outlineLevel="0" collapsed="false">
      <c r="A72" s="75" t="s">
        <v>824</v>
      </c>
      <c r="B72" s="4" t="s">
        <v>524</v>
      </c>
      <c r="C72" s="4" t="s">
        <v>154</v>
      </c>
      <c r="D72" s="4" t="s">
        <v>921</v>
      </c>
      <c r="E72" s="4" t="s">
        <v>530</v>
      </c>
      <c r="F72" s="42"/>
      <c r="G72" s="76"/>
    </row>
    <row r="73" customFormat="false" ht="25.15" hidden="false" customHeight="false" outlineLevel="0" collapsed="false">
      <c r="A73" s="75" t="s">
        <v>824</v>
      </c>
      <c r="B73" s="4" t="s">
        <v>524</v>
      </c>
      <c r="C73" s="4" t="s">
        <v>157</v>
      </c>
      <c r="D73" s="4" t="s">
        <v>410</v>
      </c>
      <c r="E73" s="4" t="s">
        <v>833</v>
      </c>
      <c r="F73" s="42"/>
      <c r="G73" s="76"/>
    </row>
    <row r="74" customFormat="false" ht="25.15" hidden="false" customHeight="false" outlineLevel="0" collapsed="false">
      <c r="A74" s="77" t="s">
        <v>824</v>
      </c>
      <c r="B74" s="78" t="s">
        <v>524</v>
      </c>
      <c r="C74" s="78" t="s">
        <v>160</v>
      </c>
      <c r="D74" s="78" t="s">
        <v>412</v>
      </c>
      <c r="E74" s="78" t="s">
        <v>835</v>
      </c>
      <c r="F74" s="42"/>
      <c r="G74" s="79"/>
    </row>
    <row r="75" customFormat="false" ht="12.8" hidden="false" customHeight="false" outlineLevel="0" collapsed="false">
      <c r="A75" s="55"/>
      <c r="B75" s="56"/>
      <c r="C75" s="56"/>
      <c r="D75" s="57"/>
      <c r="E75" s="56"/>
      <c r="F75" s="56"/>
      <c r="G75" s="58"/>
    </row>
    <row r="76" customFormat="false" ht="16.75" hidden="false" customHeight="true" outlineLevel="0" collapsed="false">
      <c r="A76" s="47"/>
      <c r="B76" s="19"/>
      <c r="C76" s="48"/>
      <c r="D76" s="59" t="s">
        <v>535</v>
      </c>
      <c r="E76" s="59"/>
      <c r="F76" s="50" t="e">
        <f aca="false">AVERAGE(F70:F74)</f>
        <v>#DIV/0!</v>
      </c>
      <c r="G76" s="51"/>
    </row>
    <row r="77" s="33" customFormat="true" ht="12.8" hidden="false" customHeight="false" outlineLevel="0" collapsed="false">
      <c r="A77" s="43"/>
      <c r="B77" s="44"/>
      <c r="C77" s="44"/>
      <c r="D77" s="60"/>
      <c r="E77" s="44"/>
      <c r="F77" s="44"/>
      <c r="G77" s="46"/>
    </row>
    <row r="78" customFormat="false" ht="36.85" hidden="false" customHeight="false" outlineLevel="0" collapsed="false">
      <c r="A78" s="72" t="s">
        <v>824</v>
      </c>
      <c r="B78" s="73" t="s">
        <v>922</v>
      </c>
      <c r="C78" s="73" t="s">
        <v>148</v>
      </c>
      <c r="D78" s="73" t="s">
        <v>923</v>
      </c>
      <c r="E78" s="73" t="s">
        <v>924</v>
      </c>
      <c r="F78" s="42"/>
      <c r="G78" s="74"/>
    </row>
    <row r="79" customFormat="false" ht="25.15" hidden="false" customHeight="false" outlineLevel="0" collapsed="false">
      <c r="A79" s="75" t="s">
        <v>824</v>
      </c>
      <c r="B79" s="4" t="s">
        <v>922</v>
      </c>
      <c r="C79" s="4" t="s">
        <v>151</v>
      </c>
      <c r="D79" s="4" t="s">
        <v>925</v>
      </c>
      <c r="E79" s="4" t="s">
        <v>926</v>
      </c>
      <c r="F79" s="42"/>
      <c r="G79" s="76"/>
    </row>
    <row r="80" customFormat="false" ht="25.15" hidden="false" customHeight="false" outlineLevel="0" collapsed="false">
      <c r="A80" s="75" t="s">
        <v>824</v>
      </c>
      <c r="B80" s="4" t="s">
        <v>922</v>
      </c>
      <c r="C80" s="4" t="s">
        <v>154</v>
      </c>
      <c r="D80" s="4" t="s">
        <v>927</v>
      </c>
      <c r="E80" s="4" t="s">
        <v>928</v>
      </c>
      <c r="F80" s="42"/>
      <c r="G80" s="76"/>
    </row>
    <row r="81" customFormat="false" ht="25.15" hidden="false" customHeight="false" outlineLevel="0" collapsed="false">
      <c r="A81" s="75" t="s">
        <v>824</v>
      </c>
      <c r="B81" s="4" t="s">
        <v>922</v>
      </c>
      <c r="C81" s="4" t="s">
        <v>157</v>
      </c>
      <c r="D81" s="4" t="s">
        <v>929</v>
      </c>
      <c r="E81" s="4" t="s">
        <v>930</v>
      </c>
      <c r="F81" s="42"/>
      <c r="G81" s="76"/>
    </row>
    <row r="82" customFormat="false" ht="25.15" hidden="false" customHeight="false" outlineLevel="0" collapsed="false">
      <c r="A82" s="77" t="s">
        <v>824</v>
      </c>
      <c r="B82" s="78" t="s">
        <v>922</v>
      </c>
      <c r="C82" s="78" t="s">
        <v>160</v>
      </c>
      <c r="D82" s="78" t="s">
        <v>931</v>
      </c>
      <c r="E82" s="78" t="s">
        <v>932</v>
      </c>
      <c r="F82" s="42"/>
      <c r="G82" s="79"/>
    </row>
    <row r="83" customFormat="false" ht="12.8" hidden="false" customHeight="false" outlineLevel="0" collapsed="false">
      <c r="A83" s="55"/>
      <c r="B83" s="56"/>
      <c r="C83" s="56"/>
      <c r="D83" s="57"/>
      <c r="E83" s="56"/>
      <c r="F83" s="56"/>
      <c r="G83" s="58"/>
    </row>
    <row r="84" customFormat="false" ht="16.75" hidden="false" customHeight="true" outlineLevel="0" collapsed="false">
      <c r="A84" s="47"/>
      <c r="B84" s="19"/>
      <c r="C84" s="48"/>
      <c r="D84" s="59" t="s">
        <v>933</v>
      </c>
      <c r="E84" s="59"/>
      <c r="F84" s="50" t="e">
        <f aca="false">AVERAGE(F78:F82)</f>
        <v>#DIV/0!</v>
      </c>
      <c r="G84" s="51"/>
    </row>
    <row r="85" s="33" customFormat="true" ht="12.8" hidden="false" customHeight="false" outlineLevel="0" collapsed="false">
      <c r="A85" s="43"/>
      <c r="B85" s="44"/>
      <c r="C85" s="44"/>
      <c r="D85" s="60"/>
      <c r="E85" s="44"/>
      <c r="F85" s="44"/>
      <c r="G85" s="46"/>
    </row>
    <row r="86" customFormat="false" ht="36.85" hidden="false" customHeight="false" outlineLevel="0" collapsed="false">
      <c r="A86" s="72" t="s">
        <v>824</v>
      </c>
      <c r="B86" s="73" t="s">
        <v>934</v>
      </c>
      <c r="C86" s="73" t="s">
        <v>148</v>
      </c>
      <c r="D86" s="73" t="s">
        <v>935</v>
      </c>
      <c r="E86" s="73" t="s">
        <v>936</v>
      </c>
      <c r="F86" s="42"/>
      <c r="G86" s="74"/>
    </row>
    <row r="87" customFormat="false" ht="25.15" hidden="false" customHeight="false" outlineLevel="0" collapsed="false">
      <c r="A87" s="75" t="s">
        <v>824</v>
      </c>
      <c r="B87" s="4" t="s">
        <v>934</v>
      </c>
      <c r="C87" s="4" t="s">
        <v>151</v>
      </c>
      <c r="D87" s="4" t="s">
        <v>937</v>
      </c>
      <c r="E87" s="4" t="s">
        <v>938</v>
      </c>
      <c r="F87" s="42"/>
      <c r="G87" s="76"/>
    </row>
    <row r="88" customFormat="false" ht="25.15" hidden="false" customHeight="false" outlineLevel="0" collapsed="false">
      <c r="A88" s="75" t="s">
        <v>824</v>
      </c>
      <c r="B88" s="4" t="s">
        <v>934</v>
      </c>
      <c r="C88" s="4" t="s">
        <v>154</v>
      </c>
      <c r="D88" s="4" t="s">
        <v>939</v>
      </c>
      <c r="E88" s="4" t="s">
        <v>940</v>
      </c>
      <c r="F88" s="42"/>
      <c r="G88" s="76"/>
    </row>
    <row r="89" customFormat="false" ht="25.15" hidden="false" customHeight="false" outlineLevel="0" collapsed="false">
      <c r="A89" s="75" t="s">
        <v>824</v>
      </c>
      <c r="B89" s="4" t="s">
        <v>934</v>
      </c>
      <c r="C89" s="4" t="s">
        <v>157</v>
      </c>
      <c r="D89" s="4" t="s">
        <v>941</v>
      </c>
      <c r="E89" s="4" t="s">
        <v>942</v>
      </c>
      <c r="F89" s="42"/>
      <c r="G89" s="76"/>
    </row>
    <row r="90" customFormat="false" ht="25.15" hidden="false" customHeight="false" outlineLevel="0" collapsed="false">
      <c r="A90" s="77" t="s">
        <v>824</v>
      </c>
      <c r="B90" s="78" t="s">
        <v>934</v>
      </c>
      <c r="C90" s="78" t="s">
        <v>160</v>
      </c>
      <c r="D90" s="78" t="s">
        <v>943</v>
      </c>
      <c r="E90" s="78" t="s">
        <v>944</v>
      </c>
      <c r="F90" s="42"/>
      <c r="G90" s="79"/>
    </row>
    <row r="91" customFormat="false" ht="12.8" hidden="false" customHeight="false" outlineLevel="0" collapsed="false">
      <c r="A91" s="55"/>
      <c r="B91" s="56"/>
      <c r="C91" s="56"/>
      <c r="D91" s="57"/>
      <c r="E91" s="56"/>
      <c r="F91" s="56"/>
      <c r="G91" s="58"/>
    </row>
    <row r="92" customFormat="false" ht="16.75" hidden="false" customHeight="true" outlineLevel="0" collapsed="false">
      <c r="A92" s="47"/>
      <c r="B92" s="19"/>
      <c r="C92" s="48"/>
      <c r="D92" s="59" t="s">
        <v>945</v>
      </c>
      <c r="E92" s="59"/>
      <c r="F92" s="50" t="e">
        <f aca="false">AVERAGE(F86:F90)</f>
        <v>#DIV/0!</v>
      </c>
      <c r="G92" s="51"/>
    </row>
    <row r="93" s="33" customFormat="true" ht="12.8" hidden="false" customHeight="false" outlineLevel="0" collapsed="false">
      <c r="A93" s="43"/>
      <c r="B93" s="44"/>
      <c r="C93" s="44"/>
      <c r="D93" s="60"/>
      <c r="E93" s="44"/>
      <c r="F93" s="44"/>
      <c r="G93" s="46"/>
    </row>
    <row r="94" customFormat="false" ht="36.85" hidden="false" customHeight="false" outlineLevel="0" collapsed="false">
      <c r="A94" s="72" t="s">
        <v>824</v>
      </c>
      <c r="B94" s="73" t="s">
        <v>946</v>
      </c>
      <c r="C94" s="73" t="s">
        <v>148</v>
      </c>
      <c r="D94" s="73" t="s">
        <v>947</v>
      </c>
      <c r="E94" s="73" t="s">
        <v>948</v>
      </c>
      <c r="F94" s="42"/>
      <c r="G94" s="74"/>
    </row>
    <row r="95" customFormat="false" ht="36.85" hidden="false" customHeight="false" outlineLevel="0" collapsed="false">
      <c r="A95" s="75" t="s">
        <v>824</v>
      </c>
      <c r="B95" s="4" t="s">
        <v>946</v>
      </c>
      <c r="C95" s="4" t="s">
        <v>151</v>
      </c>
      <c r="D95" s="4" t="s">
        <v>919</v>
      </c>
      <c r="E95" s="4" t="s">
        <v>949</v>
      </c>
      <c r="F95" s="42"/>
      <c r="G95" s="76"/>
    </row>
    <row r="96" customFormat="false" ht="36.85" hidden="false" customHeight="false" outlineLevel="0" collapsed="false">
      <c r="A96" s="75" t="s">
        <v>824</v>
      </c>
      <c r="B96" s="4" t="s">
        <v>946</v>
      </c>
      <c r="C96" s="4" t="s">
        <v>154</v>
      </c>
      <c r="D96" s="4" t="s">
        <v>950</v>
      </c>
      <c r="E96" s="4" t="s">
        <v>951</v>
      </c>
      <c r="F96" s="42"/>
      <c r="G96" s="76"/>
    </row>
    <row r="97" customFormat="false" ht="36.85" hidden="false" customHeight="false" outlineLevel="0" collapsed="false">
      <c r="A97" s="75" t="s">
        <v>824</v>
      </c>
      <c r="B97" s="4" t="s">
        <v>946</v>
      </c>
      <c r="C97" s="4" t="s">
        <v>157</v>
      </c>
      <c r="D97" s="4" t="s">
        <v>952</v>
      </c>
      <c r="E97" s="4" t="s">
        <v>953</v>
      </c>
      <c r="F97" s="42"/>
      <c r="G97" s="76"/>
    </row>
    <row r="98" customFormat="false" ht="36.85" hidden="false" customHeight="false" outlineLevel="0" collapsed="false">
      <c r="A98" s="77" t="s">
        <v>824</v>
      </c>
      <c r="B98" s="78" t="s">
        <v>946</v>
      </c>
      <c r="C98" s="78" t="s">
        <v>160</v>
      </c>
      <c r="D98" s="78" t="s">
        <v>954</v>
      </c>
      <c r="E98" s="78" t="s">
        <v>955</v>
      </c>
      <c r="F98" s="42"/>
      <c r="G98" s="79"/>
    </row>
    <row r="99" customFormat="false" ht="12.8" hidden="false" customHeight="false" outlineLevel="0" collapsed="false">
      <c r="A99" s="55"/>
      <c r="B99" s="56"/>
      <c r="C99" s="56"/>
      <c r="D99" s="57"/>
      <c r="E99" s="56"/>
      <c r="F99" s="56"/>
      <c r="G99" s="58"/>
    </row>
    <row r="100" customFormat="false" ht="16.75" hidden="false" customHeight="true" outlineLevel="0" collapsed="false">
      <c r="A100" s="47"/>
      <c r="B100" s="19"/>
      <c r="C100" s="48"/>
      <c r="D100" s="59" t="s">
        <v>956</v>
      </c>
      <c r="E100" s="59"/>
      <c r="F100" s="50" t="e">
        <f aca="false">AVERAGE(F94:F98)</f>
        <v>#DIV/0!</v>
      </c>
      <c r="G100" s="51"/>
    </row>
    <row r="101" s="33" customFormat="true" ht="12.8" hidden="false" customHeight="false" outlineLevel="0" collapsed="false">
      <c r="A101" s="43"/>
      <c r="B101" s="44"/>
      <c r="C101" s="44"/>
      <c r="D101" s="60"/>
      <c r="E101" s="44"/>
      <c r="F101" s="44"/>
      <c r="G101" s="46"/>
    </row>
    <row r="102" customFormat="false" ht="25.15" hidden="false" customHeight="false" outlineLevel="0" collapsed="false">
      <c r="A102" s="72" t="s">
        <v>824</v>
      </c>
      <c r="B102" s="73" t="s">
        <v>550</v>
      </c>
      <c r="C102" s="73" t="s">
        <v>148</v>
      </c>
      <c r="D102" s="73" t="s">
        <v>957</v>
      </c>
      <c r="E102" s="73" t="s">
        <v>552</v>
      </c>
      <c r="F102" s="42"/>
      <c r="G102" s="74"/>
    </row>
    <row r="103" customFormat="false" ht="25.15" hidden="false" customHeight="false" outlineLevel="0" collapsed="false">
      <c r="A103" s="75" t="s">
        <v>824</v>
      </c>
      <c r="B103" s="4" t="s">
        <v>550</v>
      </c>
      <c r="C103" s="4" t="s">
        <v>151</v>
      </c>
      <c r="D103" s="4" t="s">
        <v>958</v>
      </c>
      <c r="E103" s="4" t="s">
        <v>959</v>
      </c>
      <c r="F103" s="42"/>
      <c r="G103" s="76"/>
    </row>
    <row r="104" customFormat="false" ht="25.15" hidden="false" customHeight="false" outlineLevel="0" collapsed="false">
      <c r="A104" s="75" t="s">
        <v>824</v>
      </c>
      <c r="B104" s="4" t="s">
        <v>550</v>
      </c>
      <c r="C104" s="4" t="s">
        <v>154</v>
      </c>
      <c r="D104" s="4" t="s">
        <v>960</v>
      </c>
      <c r="E104" s="4" t="s">
        <v>961</v>
      </c>
      <c r="F104" s="42"/>
      <c r="G104" s="76"/>
    </row>
    <row r="105" customFormat="false" ht="25.15" hidden="false" customHeight="false" outlineLevel="0" collapsed="false">
      <c r="A105" s="75" t="s">
        <v>824</v>
      </c>
      <c r="B105" s="4" t="s">
        <v>550</v>
      </c>
      <c r="C105" s="4" t="s">
        <v>157</v>
      </c>
      <c r="D105" s="4" t="s">
        <v>962</v>
      </c>
      <c r="E105" s="4" t="s">
        <v>558</v>
      </c>
      <c r="F105" s="42"/>
      <c r="G105" s="76"/>
    </row>
    <row r="106" customFormat="false" ht="25.15" hidden="false" customHeight="false" outlineLevel="0" collapsed="false">
      <c r="A106" s="77" t="s">
        <v>824</v>
      </c>
      <c r="B106" s="78" t="s">
        <v>550</v>
      </c>
      <c r="C106" s="78" t="s">
        <v>160</v>
      </c>
      <c r="D106" s="78" t="s">
        <v>559</v>
      </c>
      <c r="E106" s="78" t="s">
        <v>560</v>
      </c>
      <c r="F106" s="42"/>
      <c r="G106" s="79"/>
    </row>
    <row r="107" customFormat="false" ht="12.8" hidden="false" customHeight="false" outlineLevel="0" collapsed="false">
      <c r="A107" s="55"/>
      <c r="B107" s="56"/>
      <c r="C107" s="56"/>
      <c r="D107" s="57"/>
      <c r="E107" s="56"/>
      <c r="F107" s="56"/>
      <c r="G107" s="58"/>
    </row>
    <row r="108" customFormat="false" ht="16.75" hidden="false" customHeight="true" outlineLevel="0" collapsed="false">
      <c r="A108" s="47"/>
      <c r="B108" s="19"/>
      <c r="C108" s="48"/>
      <c r="D108" s="59" t="s">
        <v>561</v>
      </c>
      <c r="E108" s="59"/>
      <c r="F108" s="50" t="e">
        <f aca="false">AVERAGE(F102:F106)</f>
        <v>#DIV/0!</v>
      </c>
      <c r="G108" s="51"/>
    </row>
    <row r="109" s="33" customFormat="true" ht="12.8" hidden="false" customHeight="false" outlineLevel="0" collapsed="false">
      <c r="A109" s="43"/>
      <c r="B109" s="44"/>
      <c r="C109" s="44"/>
      <c r="D109" s="60"/>
      <c r="E109" s="44"/>
      <c r="F109" s="44"/>
      <c r="G109" s="46"/>
    </row>
    <row r="110" customFormat="false" ht="25.15" hidden="false" customHeight="false" outlineLevel="0" collapsed="false">
      <c r="A110" s="72" t="s">
        <v>824</v>
      </c>
      <c r="B110" s="73" t="s">
        <v>963</v>
      </c>
      <c r="C110" s="73" t="s">
        <v>148</v>
      </c>
      <c r="D110" s="73" t="s">
        <v>964</v>
      </c>
      <c r="E110" s="73" t="s">
        <v>965</v>
      </c>
      <c r="F110" s="42"/>
      <c r="G110" s="74"/>
    </row>
    <row r="111" customFormat="false" ht="36.85" hidden="false" customHeight="false" outlineLevel="0" collapsed="false">
      <c r="A111" s="75" t="s">
        <v>824</v>
      </c>
      <c r="B111" s="4" t="s">
        <v>963</v>
      </c>
      <c r="C111" s="4" t="s">
        <v>151</v>
      </c>
      <c r="D111" s="4" t="s">
        <v>966</v>
      </c>
      <c r="E111" s="4" t="s">
        <v>967</v>
      </c>
      <c r="F111" s="42"/>
      <c r="G111" s="76"/>
    </row>
    <row r="112" customFormat="false" ht="25.15" hidden="false" customHeight="false" outlineLevel="0" collapsed="false">
      <c r="A112" s="75" t="s">
        <v>824</v>
      </c>
      <c r="B112" s="4" t="s">
        <v>963</v>
      </c>
      <c r="C112" s="4" t="s">
        <v>154</v>
      </c>
      <c r="D112" s="4" t="s">
        <v>968</v>
      </c>
      <c r="E112" s="4" t="s">
        <v>969</v>
      </c>
      <c r="F112" s="42"/>
      <c r="G112" s="76"/>
    </row>
    <row r="113" customFormat="false" ht="25.15" hidden="false" customHeight="false" outlineLevel="0" collapsed="false">
      <c r="A113" s="75" t="s">
        <v>824</v>
      </c>
      <c r="B113" s="4" t="s">
        <v>963</v>
      </c>
      <c r="C113" s="4" t="s">
        <v>157</v>
      </c>
      <c r="D113" s="4" t="s">
        <v>970</v>
      </c>
      <c r="E113" s="4" t="s">
        <v>971</v>
      </c>
      <c r="F113" s="42"/>
      <c r="G113" s="76"/>
    </row>
    <row r="114" customFormat="false" ht="25.15" hidden="false" customHeight="false" outlineLevel="0" collapsed="false">
      <c r="A114" s="77" t="s">
        <v>824</v>
      </c>
      <c r="B114" s="78" t="s">
        <v>963</v>
      </c>
      <c r="C114" s="78" t="s">
        <v>160</v>
      </c>
      <c r="D114" s="78" t="s">
        <v>972</v>
      </c>
      <c r="E114" s="78" t="s">
        <v>973</v>
      </c>
      <c r="F114" s="42"/>
      <c r="G114" s="79"/>
    </row>
    <row r="115" customFormat="false" ht="12.8" hidden="false" customHeight="false" outlineLevel="0" collapsed="false">
      <c r="A115" s="55"/>
      <c r="B115" s="56"/>
      <c r="C115" s="56"/>
      <c r="D115" s="57"/>
      <c r="E115" s="56"/>
      <c r="F115" s="56"/>
      <c r="G115" s="58"/>
    </row>
    <row r="116" customFormat="false" ht="16.75" hidden="false" customHeight="true" outlineLevel="0" collapsed="false">
      <c r="A116" s="47"/>
      <c r="B116" s="19"/>
      <c r="C116" s="48"/>
      <c r="D116" s="59" t="s">
        <v>974</v>
      </c>
      <c r="E116" s="59"/>
      <c r="F116" s="50" t="e">
        <f aca="false">AVERAGE(F110:F114)</f>
        <v>#DIV/0!</v>
      </c>
      <c r="G116" s="51"/>
    </row>
    <row r="117" s="33" customFormat="true" ht="12.8" hidden="false" customHeight="false" outlineLevel="0" collapsed="false">
      <c r="A117" s="43"/>
      <c r="B117" s="44"/>
      <c r="C117" s="44"/>
      <c r="D117" s="60"/>
      <c r="E117" s="44"/>
      <c r="F117" s="44"/>
      <c r="G117" s="46"/>
    </row>
    <row r="118" customFormat="false" ht="36.85" hidden="false" customHeight="false" outlineLevel="0" collapsed="false">
      <c r="A118" s="72" t="s">
        <v>824</v>
      </c>
      <c r="B118" s="73" t="s">
        <v>975</v>
      </c>
      <c r="C118" s="73" t="s">
        <v>148</v>
      </c>
      <c r="D118" s="73" t="s">
        <v>976</v>
      </c>
      <c r="E118" s="73" t="s">
        <v>575</v>
      </c>
      <c r="F118" s="42"/>
      <c r="G118" s="74"/>
    </row>
    <row r="119" customFormat="false" ht="25.15" hidden="false" customHeight="false" outlineLevel="0" collapsed="false">
      <c r="A119" s="75" t="s">
        <v>824</v>
      </c>
      <c r="B119" s="4" t="s">
        <v>975</v>
      </c>
      <c r="C119" s="4" t="s">
        <v>151</v>
      </c>
      <c r="D119" s="4" t="s">
        <v>977</v>
      </c>
      <c r="E119" s="4" t="s">
        <v>577</v>
      </c>
      <c r="F119" s="42"/>
      <c r="G119" s="76"/>
    </row>
    <row r="120" customFormat="false" ht="25.15" hidden="false" customHeight="false" outlineLevel="0" collapsed="false">
      <c r="A120" s="75" t="s">
        <v>824</v>
      </c>
      <c r="B120" s="4" t="s">
        <v>975</v>
      </c>
      <c r="C120" s="4" t="s">
        <v>154</v>
      </c>
      <c r="D120" s="4" t="s">
        <v>978</v>
      </c>
      <c r="E120" s="4" t="s">
        <v>979</v>
      </c>
      <c r="F120" s="42"/>
      <c r="G120" s="76"/>
    </row>
    <row r="121" customFormat="false" ht="25.15" hidden="false" customHeight="false" outlineLevel="0" collapsed="false">
      <c r="A121" s="75" t="s">
        <v>824</v>
      </c>
      <c r="B121" s="4" t="s">
        <v>975</v>
      </c>
      <c r="C121" s="4" t="s">
        <v>157</v>
      </c>
      <c r="D121" s="4" t="s">
        <v>980</v>
      </c>
      <c r="E121" s="4" t="s">
        <v>981</v>
      </c>
      <c r="F121" s="42"/>
      <c r="G121" s="76"/>
    </row>
    <row r="122" customFormat="false" ht="25.15" hidden="false" customHeight="false" outlineLevel="0" collapsed="false">
      <c r="A122" s="77" t="s">
        <v>824</v>
      </c>
      <c r="B122" s="78" t="s">
        <v>975</v>
      </c>
      <c r="C122" s="78" t="s">
        <v>160</v>
      </c>
      <c r="D122" s="78" t="s">
        <v>982</v>
      </c>
      <c r="E122" s="78" t="s">
        <v>583</v>
      </c>
      <c r="F122" s="42"/>
      <c r="G122" s="79"/>
    </row>
    <row r="123" customFormat="false" ht="12.8" hidden="false" customHeight="false" outlineLevel="0" collapsed="false">
      <c r="A123" s="55"/>
      <c r="B123" s="56"/>
      <c r="C123" s="56"/>
      <c r="D123" s="57"/>
      <c r="E123" s="56"/>
      <c r="F123" s="56"/>
      <c r="G123" s="58"/>
    </row>
    <row r="124" customFormat="false" ht="16.75" hidden="false" customHeight="true" outlineLevel="0" collapsed="false">
      <c r="A124" s="47"/>
      <c r="B124" s="19"/>
      <c r="C124" s="48"/>
      <c r="D124" s="59" t="s">
        <v>983</v>
      </c>
      <c r="E124" s="59"/>
      <c r="F124" s="50" t="e">
        <f aca="false">AVERAGE(F118:F122)</f>
        <v>#DIV/0!</v>
      </c>
      <c r="G124" s="51"/>
    </row>
    <row r="125" s="33" customFormat="true" ht="12.8" hidden="false" customHeight="false" outlineLevel="0" collapsed="false">
      <c r="A125" s="43"/>
      <c r="B125" s="44"/>
      <c r="C125" s="44"/>
      <c r="D125" s="60"/>
      <c r="E125" s="44"/>
      <c r="F125" s="44"/>
      <c r="G125" s="46"/>
    </row>
    <row r="126" customFormat="false" ht="36.85" hidden="false" customHeight="false" outlineLevel="0" collapsed="false">
      <c r="A126" s="72" t="s">
        <v>824</v>
      </c>
      <c r="B126" s="73" t="s">
        <v>984</v>
      </c>
      <c r="C126" s="73" t="s">
        <v>148</v>
      </c>
      <c r="D126" s="73" t="s">
        <v>985</v>
      </c>
      <c r="E126" s="73" t="s">
        <v>986</v>
      </c>
      <c r="F126" s="42"/>
      <c r="G126" s="74"/>
    </row>
    <row r="127" customFormat="false" ht="36.85" hidden="false" customHeight="false" outlineLevel="0" collapsed="false">
      <c r="A127" s="75" t="s">
        <v>824</v>
      </c>
      <c r="B127" s="4" t="s">
        <v>984</v>
      </c>
      <c r="C127" s="4" t="s">
        <v>151</v>
      </c>
      <c r="D127" s="4" t="s">
        <v>987</v>
      </c>
      <c r="E127" s="4" t="s">
        <v>988</v>
      </c>
      <c r="F127" s="42"/>
      <c r="G127" s="76"/>
    </row>
    <row r="128" customFormat="false" ht="36.85" hidden="false" customHeight="false" outlineLevel="0" collapsed="false">
      <c r="A128" s="75" t="s">
        <v>824</v>
      </c>
      <c r="B128" s="4" t="s">
        <v>984</v>
      </c>
      <c r="C128" s="4" t="s">
        <v>154</v>
      </c>
      <c r="D128" s="4" t="s">
        <v>989</v>
      </c>
      <c r="E128" s="4" t="s">
        <v>990</v>
      </c>
      <c r="F128" s="42"/>
      <c r="G128" s="76"/>
    </row>
    <row r="129" customFormat="false" ht="36.85" hidden="false" customHeight="false" outlineLevel="0" collapsed="false">
      <c r="A129" s="75" t="s">
        <v>824</v>
      </c>
      <c r="B129" s="4" t="s">
        <v>984</v>
      </c>
      <c r="C129" s="4" t="s">
        <v>157</v>
      </c>
      <c r="D129" s="4" t="s">
        <v>410</v>
      </c>
      <c r="E129" s="4" t="s">
        <v>991</v>
      </c>
      <c r="F129" s="42"/>
      <c r="G129" s="76"/>
    </row>
    <row r="130" customFormat="false" ht="36.85" hidden="false" customHeight="false" outlineLevel="0" collapsed="false">
      <c r="A130" s="77" t="s">
        <v>824</v>
      </c>
      <c r="B130" s="78" t="s">
        <v>984</v>
      </c>
      <c r="C130" s="78" t="s">
        <v>160</v>
      </c>
      <c r="D130" s="78" t="s">
        <v>412</v>
      </c>
      <c r="E130" s="78" t="s">
        <v>992</v>
      </c>
      <c r="F130" s="42"/>
      <c r="G130" s="79"/>
    </row>
    <row r="131" customFormat="false" ht="12.8" hidden="false" customHeight="false" outlineLevel="0" collapsed="false">
      <c r="A131" s="55"/>
      <c r="B131" s="56"/>
      <c r="C131" s="56"/>
      <c r="D131" s="57"/>
      <c r="E131" s="56"/>
      <c r="F131" s="56"/>
      <c r="G131" s="58"/>
    </row>
    <row r="132" customFormat="false" ht="16.75" hidden="false" customHeight="true" outlineLevel="0" collapsed="false">
      <c r="A132" s="47"/>
      <c r="B132" s="19"/>
      <c r="C132" s="48"/>
      <c r="D132" s="59" t="s">
        <v>993</v>
      </c>
      <c r="E132" s="59"/>
      <c r="F132" s="50" t="e">
        <f aca="false">AVERAGE(F126:F130)</f>
        <v>#DIV/0!</v>
      </c>
      <c r="G132" s="51"/>
    </row>
    <row r="133" s="33" customFormat="true" ht="12.8" hidden="false" customHeight="false" outlineLevel="0" collapsed="false">
      <c r="A133" s="43"/>
      <c r="B133" s="44"/>
      <c r="C133" s="44"/>
      <c r="D133" s="60"/>
      <c r="E133" s="44"/>
      <c r="F133" s="44"/>
      <c r="G133" s="46"/>
    </row>
    <row r="134" customFormat="false" ht="25.15" hidden="false" customHeight="false" outlineLevel="0" collapsed="false">
      <c r="A134" s="72" t="s">
        <v>824</v>
      </c>
      <c r="B134" s="73" t="s">
        <v>994</v>
      </c>
      <c r="C134" s="73" t="s">
        <v>148</v>
      </c>
      <c r="D134" s="73" t="s">
        <v>995</v>
      </c>
      <c r="E134" s="73" t="s">
        <v>996</v>
      </c>
      <c r="F134" s="42"/>
      <c r="G134" s="74"/>
    </row>
    <row r="135" customFormat="false" ht="36.85" hidden="false" customHeight="false" outlineLevel="0" collapsed="false">
      <c r="A135" s="75" t="s">
        <v>824</v>
      </c>
      <c r="B135" s="4" t="s">
        <v>994</v>
      </c>
      <c r="C135" s="4" t="s">
        <v>151</v>
      </c>
      <c r="D135" s="4" t="s">
        <v>997</v>
      </c>
      <c r="E135" s="4" t="s">
        <v>998</v>
      </c>
      <c r="F135" s="42"/>
      <c r="G135" s="76"/>
    </row>
    <row r="136" customFormat="false" ht="36.85" hidden="false" customHeight="false" outlineLevel="0" collapsed="false">
      <c r="A136" s="75" t="s">
        <v>824</v>
      </c>
      <c r="B136" s="4" t="s">
        <v>994</v>
      </c>
      <c r="C136" s="4" t="s">
        <v>154</v>
      </c>
      <c r="D136" s="4" t="s">
        <v>999</v>
      </c>
      <c r="E136" s="4" t="s">
        <v>1000</v>
      </c>
      <c r="F136" s="42"/>
      <c r="G136" s="76"/>
    </row>
    <row r="137" customFormat="false" ht="25.15" hidden="false" customHeight="false" outlineLevel="0" collapsed="false">
      <c r="A137" s="75" t="s">
        <v>824</v>
      </c>
      <c r="B137" s="4" t="s">
        <v>994</v>
      </c>
      <c r="C137" s="4" t="s">
        <v>157</v>
      </c>
      <c r="D137" s="4" t="s">
        <v>766</v>
      </c>
      <c r="E137" s="4" t="s">
        <v>1001</v>
      </c>
      <c r="F137" s="42"/>
      <c r="G137" s="76"/>
    </row>
    <row r="138" customFormat="false" ht="25.15" hidden="false" customHeight="false" outlineLevel="0" collapsed="false">
      <c r="A138" s="77" t="s">
        <v>824</v>
      </c>
      <c r="B138" s="78" t="s">
        <v>994</v>
      </c>
      <c r="C138" s="78" t="s">
        <v>160</v>
      </c>
      <c r="D138" s="78" t="s">
        <v>768</v>
      </c>
      <c r="E138" s="78" t="s">
        <v>769</v>
      </c>
      <c r="F138" s="42"/>
      <c r="G138" s="79"/>
    </row>
    <row r="139" customFormat="false" ht="12.8" hidden="false" customHeight="false" outlineLevel="0" collapsed="false">
      <c r="A139" s="55"/>
      <c r="B139" s="56"/>
      <c r="C139" s="56"/>
      <c r="D139" s="57"/>
      <c r="E139" s="56"/>
      <c r="F139" s="56"/>
      <c r="G139" s="58"/>
    </row>
    <row r="140" customFormat="false" ht="16.75" hidden="false" customHeight="true" outlineLevel="0" collapsed="false">
      <c r="A140" s="47"/>
      <c r="B140" s="19"/>
      <c r="C140" s="48"/>
      <c r="D140" s="59" t="s">
        <v>1002</v>
      </c>
      <c r="E140" s="59"/>
      <c r="F140" s="50" t="e">
        <f aca="false">AVERAGE(F134:F138)</f>
        <v>#DIV/0!</v>
      </c>
      <c r="G140" s="51"/>
    </row>
    <row r="141" s="33" customFormat="true" ht="12.8" hidden="false" customHeight="false" outlineLevel="0" collapsed="false">
      <c r="A141" s="43"/>
      <c r="B141" s="44"/>
      <c r="C141" s="44"/>
      <c r="D141" s="60"/>
      <c r="E141" s="44"/>
      <c r="F141" s="44"/>
      <c r="G141" s="46"/>
    </row>
    <row r="142" customFormat="false" ht="36.85" hidden="false" customHeight="false" outlineLevel="0" collapsed="false">
      <c r="A142" s="72" t="s">
        <v>824</v>
      </c>
      <c r="B142" s="73" t="s">
        <v>1003</v>
      </c>
      <c r="C142" s="73" t="s">
        <v>148</v>
      </c>
      <c r="D142" s="73" t="s">
        <v>1004</v>
      </c>
      <c r="E142" s="73" t="s">
        <v>1005</v>
      </c>
      <c r="F142" s="42"/>
      <c r="G142" s="74"/>
    </row>
    <row r="143" customFormat="false" ht="25.15" hidden="false" customHeight="false" outlineLevel="0" collapsed="false">
      <c r="A143" s="75" t="s">
        <v>824</v>
      </c>
      <c r="B143" s="4" t="s">
        <v>1003</v>
      </c>
      <c r="C143" s="4" t="s">
        <v>151</v>
      </c>
      <c r="D143" s="4" t="s">
        <v>1006</v>
      </c>
      <c r="E143" s="4" t="s">
        <v>1007</v>
      </c>
      <c r="F143" s="42"/>
      <c r="G143" s="76"/>
    </row>
    <row r="144" customFormat="false" ht="25.15" hidden="false" customHeight="false" outlineLevel="0" collapsed="false">
      <c r="A144" s="75" t="s">
        <v>824</v>
      </c>
      <c r="B144" s="4" t="s">
        <v>1003</v>
      </c>
      <c r="C144" s="4" t="s">
        <v>154</v>
      </c>
      <c r="D144" s="4" t="s">
        <v>1008</v>
      </c>
      <c r="E144" s="4" t="s">
        <v>1009</v>
      </c>
      <c r="F144" s="42"/>
      <c r="G144" s="76"/>
    </row>
    <row r="145" customFormat="false" ht="25.15" hidden="false" customHeight="false" outlineLevel="0" collapsed="false">
      <c r="A145" s="75" t="s">
        <v>824</v>
      </c>
      <c r="B145" s="4" t="s">
        <v>1003</v>
      </c>
      <c r="C145" s="4" t="s">
        <v>157</v>
      </c>
      <c r="D145" s="4" t="s">
        <v>1010</v>
      </c>
      <c r="E145" s="4" t="s">
        <v>1011</v>
      </c>
      <c r="F145" s="42"/>
      <c r="G145" s="76"/>
    </row>
    <row r="146" customFormat="false" ht="25.15" hidden="false" customHeight="false" outlineLevel="0" collapsed="false">
      <c r="A146" s="77" t="s">
        <v>824</v>
      </c>
      <c r="B146" s="78" t="s">
        <v>1003</v>
      </c>
      <c r="C146" s="78" t="s">
        <v>160</v>
      </c>
      <c r="D146" s="78" t="s">
        <v>1012</v>
      </c>
      <c r="E146" s="78" t="s">
        <v>1013</v>
      </c>
      <c r="F146" s="42"/>
      <c r="G146" s="79"/>
    </row>
    <row r="147" customFormat="false" ht="12.8" hidden="false" customHeight="false" outlineLevel="0" collapsed="false">
      <c r="A147" s="55"/>
      <c r="B147" s="56"/>
      <c r="C147" s="56"/>
      <c r="D147" s="57"/>
      <c r="E147" s="56"/>
      <c r="F147" s="56"/>
      <c r="G147" s="58"/>
    </row>
    <row r="148" customFormat="false" ht="16.75" hidden="false" customHeight="true" outlineLevel="0" collapsed="false">
      <c r="A148" s="47"/>
      <c r="B148" s="19"/>
      <c r="C148" s="48"/>
      <c r="D148" s="59" t="s">
        <v>1014</v>
      </c>
      <c r="E148" s="59"/>
      <c r="F148" s="50" t="e">
        <f aca="false">AVERAGE(F142:F146)</f>
        <v>#DIV/0!</v>
      </c>
      <c r="G148" s="51"/>
    </row>
    <row r="149" s="33" customFormat="true" ht="12.8" hidden="false" customHeight="false" outlineLevel="0" collapsed="false">
      <c r="A149" s="43"/>
      <c r="B149" s="44"/>
      <c r="C149" s="44"/>
      <c r="D149" s="60"/>
      <c r="E149" s="44"/>
      <c r="F149" s="44"/>
      <c r="G149" s="46"/>
    </row>
    <row r="150" customFormat="false" ht="36.85" hidden="false" customHeight="false" outlineLevel="0" collapsed="false">
      <c r="A150" s="72" t="s">
        <v>824</v>
      </c>
      <c r="B150" s="73" t="s">
        <v>1015</v>
      </c>
      <c r="C150" s="73" t="s">
        <v>148</v>
      </c>
      <c r="D150" s="73" t="s">
        <v>1016</v>
      </c>
      <c r="E150" s="73" t="s">
        <v>1017</v>
      </c>
      <c r="F150" s="42"/>
      <c r="G150" s="74"/>
    </row>
    <row r="151" customFormat="false" ht="36.85" hidden="false" customHeight="false" outlineLevel="0" collapsed="false">
      <c r="A151" s="75" t="s">
        <v>824</v>
      </c>
      <c r="B151" s="4" t="s">
        <v>1015</v>
      </c>
      <c r="C151" s="4" t="s">
        <v>151</v>
      </c>
      <c r="D151" s="4" t="s">
        <v>1018</v>
      </c>
      <c r="E151" s="4" t="s">
        <v>1019</v>
      </c>
      <c r="F151" s="42"/>
      <c r="G151" s="76"/>
    </row>
    <row r="152" customFormat="false" ht="25.15" hidden="false" customHeight="false" outlineLevel="0" collapsed="false">
      <c r="A152" s="75" t="s">
        <v>824</v>
      </c>
      <c r="B152" s="4" t="s">
        <v>1015</v>
      </c>
      <c r="C152" s="4" t="s">
        <v>154</v>
      </c>
      <c r="D152" s="4" t="s">
        <v>1020</v>
      </c>
      <c r="E152" s="4" t="s">
        <v>1021</v>
      </c>
      <c r="F152" s="42"/>
      <c r="G152" s="76"/>
    </row>
    <row r="153" customFormat="false" ht="25.15" hidden="false" customHeight="false" outlineLevel="0" collapsed="false">
      <c r="A153" s="75" t="s">
        <v>824</v>
      </c>
      <c r="B153" s="4" t="s">
        <v>1015</v>
      </c>
      <c r="C153" s="4" t="s">
        <v>157</v>
      </c>
      <c r="D153" s="4" t="s">
        <v>1022</v>
      </c>
      <c r="E153" s="4" t="s">
        <v>1023</v>
      </c>
      <c r="F153" s="42"/>
      <c r="G153" s="76"/>
    </row>
    <row r="154" customFormat="false" ht="25.15" hidden="false" customHeight="false" outlineLevel="0" collapsed="false">
      <c r="A154" s="77" t="s">
        <v>824</v>
      </c>
      <c r="B154" s="78" t="s">
        <v>1015</v>
      </c>
      <c r="C154" s="78" t="s">
        <v>160</v>
      </c>
      <c r="D154" s="78" t="s">
        <v>1024</v>
      </c>
      <c r="E154" s="78" t="s">
        <v>1025</v>
      </c>
      <c r="F154" s="42"/>
      <c r="G154" s="79"/>
    </row>
    <row r="155" customFormat="false" ht="12.8" hidden="false" customHeight="false" outlineLevel="0" collapsed="false">
      <c r="A155" s="55"/>
      <c r="B155" s="56"/>
      <c r="C155" s="56"/>
      <c r="D155" s="57"/>
      <c r="E155" s="56"/>
      <c r="F155" s="56"/>
      <c r="G155" s="58"/>
    </row>
    <row r="156" customFormat="false" ht="16.75" hidden="false" customHeight="true" outlineLevel="0" collapsed="false">
      <c r="A156" s="47"/>
      <c r="B156" s="19"/>
      <c r="C156" s="48"/>
      <c r="D156" s="59" t="s">
        <v>1026</v>
      </c>
      <c r="E156" s="59"/>
      <c r="F156" s="50" t="e">
        <f aca="false">AVERAGE(F150:F154)</f>
        <v>#DIV/0!</v>
      </c>
      <c r="G156" s="51"/>
    </row>
    <row r="157" s="33" customFormat="true" ht="12.8" hidden="false" customHeight="false" outlineLevel="0" collapsed="false">
      <c r="A157" s="43"/>
      <c r="B157" s="44"/>
      <c r="C157" s="44"/>
      <c r="D157" s="60"/>
      <c r="E157" s="44"/>
      <c r="F157" s="44"/>
      <c r="G157" s="46"/>
    </row>
    <row r="158" customFormat="false" ht="25.15" hidden="false" customHeight="false" outlineLevel="0" collapsed="false">
      <c r="A158" s="72" t="s">
        <v>824</v>
      </c>
      <c r="B158" s="73" t="s">
        <v>1027</v>
      </c>
      <c r="C158" s="73" t="s">
        <v>148</v>
      </c>
      <c r="D158" s="73" t="s">
        <v>1028</v>
      </c>
      <c r="E158" s="73" t="s">
        <v>1029</v>
      </c>
      <c r="F158" s="42"/>
      <c r="G158" s="74"/>
    </row>
    <row r="159" customFormat="false" ht="25.15" hidden="false" customHeight="false" outlineLevel="0" collapsed="false">
      <c r="A159" s="75" t="s">
        <v>824</v>
      </c>
      <c r="B159" s="4" t="s">
        <v>1027</v>
      </c>
      <c r="C159" s="4" t="s">
        <v>151</v>
      </c>
      <c r="D159" s="4" t="s">
        <v>1030</v>
      </c>
      <c r="E159" s="4" t="s">
        <v>1031</v>
      </c>
      <c r="F159" s="42"/>
      <c r="G159" s="76"/>
    </row>
    <row r="160" customFormat="false" ht="25.15" hidden="false" customHeight="false" outlineLevel="0" collapsed="false">
      <c r="A160" s="75" t="s">
        <v>824</v>
      </c>
      <c r="B160" s="4" t="s">
        <v>1027</v>
      </c>
      <c r="C160" s="4" t="s">
        <v>154</v>
      </c>
      <c r="D160" s="4" t="s">
        <v>1032</v>
      </c>
      <c r="E160" s="4" t="s">
        <v>1033</v>
      </c>
      <c r="F160" s="42"/>
      <c r="G160" s="76"/>
    </row>
    <row r="161" customFormat="false" ht="25.15" hidden="false" customHeight="false" outlineLevel="0" collapsed="false">
      <c r="A161" s="75" t="s">
        <v>824</v>
      </c>
      <c r="B161" s="4" t="s">
        <v>1027</v>
      </c>
      <c r="C161" s="4" t="s">
        <v>157</v>
      </c>
      <c r="D161" s="4" t="s">
        <v>1034</v>
      </c>
      <c r="E161" s="4" t="s">
        <v>1035</v>
      </c>
      <c r="F161" s="42"/>
      <c r="G161" s="76"/>
    </row>
    <row r="162" customFormat="false" ht="25.15" hidden="false" customHeight="false" outlineLevel="0" collapsed="false">
      <c r="A162" s="77" t="s">
        <v>824</v>
      </c>
      <c r="B162" s="78" t="s">
        <v>1027</v>
      </c>
      <c r="C162" s="78" t="s">
        <v>160</v>
      </c>
      <c r="D162" s="78" t="s">
        <v>1036</v>
      </c>
      <c r="E162" s="78" t="s">
        <v>747</v>
      </c>
      <c r="F162" s="42"/>
      <c r="G162" s="79"/>
    </row>
    <row r="163" customFormat="false" ht="12.8" hidden="false" customHeight="false" outlineLevel="0" collapsed="false">
      <c r="A163" s="55"/>
      <c r="B163" s="56"/>
      <c r="C163" s="56"/>
      <c r="D163" s="57"/>
      <c r="E163" s="56"/>
      <c r="F163" s="56"/>
      <c r="G163" s="58"/>
    </row>
    <row r="164" customFormat="false" ht="16.75" hidden="false" customHeight="true" outlineLevel="0" collapsed="false">
      <c r="A164" s="47"/>
      <c r="B164" s="19"/>
      <c r="C164" s="48"/>
      <c r="D164" s="59" t="s">
        <v>1037</v>
      </c>
      <c r="E164" s="59"/>
      <c r="F164" s="50" t="e">
        <f aca="false">AVERAGE(F158:F162)</f>
        <v>#DIV/0!</v>
      </c>
      <c r="G164" s="51"/>
    </row>
    <row r="165" s="33" customFormat="true" ht="12.8" hidden="false" customHeight="false" outlineLevel="0" collapsed="false">
      <c r="A165" s="43"/>
      <c r="B165" s="44"/>
      <c r="C165" s="44"/>
      <c r="D165" s="60"/>
      <c r="E165" s="44"/>
      <c r="F165" s="44"/>
      <c r="G165" s="46"/>
    </row>
    <row r="166" customFormat="false" ht="36.85" hidden="false" customHeight="false" outlineLevel="0" collapsed="false">
      <c r="A166" s="72" t="s">
        <v>824</v>
      </c>
      <c r="B166" s="73" t="s">
        <v>1038</v>
      </c>
      <c r="C166" s="73" t="s">
        <v>148</v>
      </c>
      <c r="D166" s="73" t="s">
        <v>1039</v>
      </c>
      <c r="E166" s="73" t="s">
        <v>345</v>
      </c>
      <c r="F166" s="42"/>
      <c r="G166" s="74"/>
    </row>
    <row r="167" customFormat="false" ht="25.15" hidden="false" customHeight="false" outlineLevel="0" collapsed="false">
      <c r="A167" s="75" t="s">
        <v>824</v>
      </c>
      <c r="B167" s="4" t="s">
        <v>1038</v>
      </c>
      <c r="C167" s="4" t="s">
        <v>151</v>
      </c>
      <c r="D167" s="4" t="s">
        <v>1040</v>
      </c>
      <c r="E167" s="4" t="s">
        <v>1041</v>
      </c>
      <c r="F167" s="42"/>
      <c r="G167" s="76"/>
    </row>
    <row r="168" customFormat="false" ht="25.15" hidden="false" customHeight="false" outlineLevel="0" collapsed="false">
      <c r="A168" s="75" t="s">
        <v>824</v>
      </c>
      <c r="B168" s="4" t="s">
        <v>1038</v>
      </c>
      <c r="C168" s="4" t="s">
        <v>154</v>
      </c>
      <c r="D168" s="4" t="s">
        <v>1042</v>
      </c>
      <c r="E168" s="4" t="s">
        <v>349</v>
      </c>
      <c r="F168" s="42"/>
      <c r="G168" s="76"/>
    </row>
    <row r="169" customFormat="false" ht="25.15" hidden="false" customHeight="false" outlineLevel="0" collapsed="false">
      <c r="A169" s="75" t="s">
        <v>824</v>
      </c>
      <c r="B169" s="4" t="s">
        <v>1038</v>
      </c>
      <c r="C169" s="4" t="s">
        <v>157</v>
      </c>
      <c r="D169" s="4" t="s">
        <v>350</v>
      </c>
      <c r="E169" s="4" t="s">
        <v>1043</v>
      </c>
      <c r="F169" s="42"/>
      <c r="G169" s="76"/>
    </row>
    <row r="170" customFormat="false" ht="25.15" hidden="false" customHeight="false" outlineLevel="0" collapsed="false">
      <c r="A170" s="77" t="s">
        <v>824</v>
      </c>
      <c r="B170" s="78" t="s">
        <v>1038</v>
      </c>
      <c r="C170" s="78" t="s">
        <v>160</v>
      </c>
      <c r="D170" s="78" t="s">
        <v>352</v>
      </c>
      <c r="E170" s="78" t="s">
        <v>1044</v>
      </c>
      <c r="F170" s="42"/>
      <c r="G170" s="79"/>
    </row>
    <row r="171" customFormat="false" ht="12.8" hidden="false" customHeight="false" outlineLevel="0" collapsed="false">
      <c r="A171" s="55"/>
      <c r="B171" s="56"/>
      <c r="C171" s="56"/>
      <c r="D171" s="57"/>
      <c r="E171" s="56"/>
      <c r="F171" s="56"/>
      <c r="G171" s="58"/>
    </row>
    <row r="172" customFormat="false" ht="16.75" hidden="false" customHeight="true" outlineLevel="0" collapsed="false">
      <c r="A172" s="47"/>
      <c r="B172" s="19"/>
      <c r="C172" s="48"/>
      <c r="D172" s="59" t="s">
        <v>1045</v>
      </c>
      <c r="E172" s="59"/>
      <c r="F172" s="50" t="e">
        <f aca="false">AVERAGE(F166:F170)</f>
        <v>#DIV/0!</v>
      </c>
      <c r="G172" s="51"/>
    </row>
    <row r="173" s="33" customFormat="true" ht="12.8" hidden="false" customHeight="false" outlineLevel="0" collapsed="false">
      <c r="A173" s="43"/>
      <c r="B173" s="44"/>
      <c r="C173" s="44"/>
      <c r="D173" s="60"/>
      <c r="E173" s="44"/>
      <c r="F173" s="44"/>
      <c r="G173" s="46"/>
    </row>
    <row r="174" customFormat="false" ht="36.85" hidden="false" customHeight="false" outlineLevel="0" collapsed="false">
      <c r="A174" s="72" t="s">
        <v>824</v>
      </c>
      <c r="B174" s="73" t="s">
        <v>1046</v>
      </c>
      <c r="C174" s="73" t="s">
        <v>148</v>
      </c>
      <c r="D174" s="73" t="s">
        <v>1047</v>
      </c>
      <c r="E174" s="73" t="s">
        <v>1048</v>
      </c>
      <c r="F174" s="42"/>
      <c r="G174" s="74"/>
    </row>
    <row r="175" customFormat="false" ht="25.15" hidden="false" customHeight="false" outlineLevel="0" collapsed="false">
      <c r="A175" s="75" t="s">
        <v>824</v>
      </c>
      <c r="B175" s="4" t="s">
        <v>1046</v>
      </c>
      <c r="C175" s="4" t="s">
        <v>151</v>
      </c>
      <c r="D175" s="4" t="s">
        <v>1049</v>
      </c>
      <c r="E175" s="4" t="s">
        <v>1050</v>
      </c>
      <c r="F175" s="42"/>
      <c r="G175" s="76"/>
    </row>
    <row r="176" customFormat="false" ht="25.15" hidden="false" customHeight="false" outlineLevel="0" collapsed="false">
      <c r="A176" s="75" t="s">
        <v>824</v>
      </c>
      <c r="B176" s="4" t="s">
        <v>1046</v>
      </c>
      <c r="C176" s="4" t="s">
        <v>154</v>
      </c>
      <c r="D176" s="4" t="s">
        <v>456</v>
      </c>
      <c r="E176" s="4" t="s">
        <v>1051</v>
      </c>
      <c r="F176" s="42"/>
      <c r="G176" s="76"/>
    </row>
    <row r="177" customFormat="false" ht="25.15" hidden="false" customHeight="false" outlineLevel="0" collapsed="false">
      <c r="A177" s="75" t="s">
        <v>824</v>
      </c>
      <c r="B177" s="4" t="s">
        <v>1046</v>
      </c>
      <c r="C177" s="4" t="s">
        <v>157</v>
      </c>
      <c r="D177" s="4" t="s">
        <v>1052</v>
      </c>
      <c r="E177" s="4" t="s">
        <v>1053</v>
      </c>
      <c r="F177" s="42"/>
      <c r="G177" s="76"/>
    </row>
    <row r="178" customFormat="false" ht="25.15" hidden="false" customHeight="false" outlineLevel="0" collapsed="false">
      <c r="A178" s="77" t="s">
        <v>824</v>
      </c>
      <c r="B178" s="78" t="s">
        <v>1046</v>
      </c>
      <c r="C178" s="78" t="s">
        <v>160</v>
      </c>
      <c r="D178" s="78" t="s">
        <v>1054</v>
      </c>
      <c r="E178" s="78" t="s">
        <v>1055</v>
      </c>
      <c r="F178" s="42"/>
      <c r="G178" s="79"/>
    </row>
    <row r="179" customFormat="false" ht="12.8" hidden="false" customHeight="false" outlineLevel="0" collapsed="false">
      <c r="A179" s="55"/>
      <c r="B179" s="56"/>
      <c r="C179" s="56"/>
      <c r="D179" s="57"/>
      <c r="E179" s="56"/>
      <c r="F179" s="56"/>
      <c r="G179" s="58"/>
    </row>
    <row r="180" customFormat="false" ht="16.75" hidden="false" customHeight="true" outlineLevel="0" collapsed="false">
      <c r="A180" s="47"/>
      <c r="B180" s="19"/>
      <c r="C180" s="48"/>
      <c r="D180" s="59" t="s">
        <v>1056</v>
      </c>
      <c r="E180" s="59"/>
      <c r="F180" s="50" t="e">
        <f aca="false">AVERAGE(F174:F178)</f>
        <v>#DIV/0!</v>
      </c>
      <c r="G180" s="51"/>
    </row>
    <row r="181" s="33" customFormat="true" ht="12.8" hidden="false" customHeight="false" outlineLevel="0" collapsed="false">
      <c r="A181" s="43"/>
      <c r="B181" s="44"/>
      <c r="C181" s="44"/>
      <c r="D181" s="60"/>
      <c r="E181" s="44"/>
      <c r="F181" s="44"/>
      <c r="G181" s="46"/>
    </row>
    <row r="182" customFormat="false" ht="36.85" hidden="false" customHeight="false" outlineLevel="0" collapsed="false">
      <c r="A182" s="72" t="s">
        <v>824</v>
      </c>
      <c r="B182" s="73" t="s">
        <v>29</v>
      </c>
      <c r="C182" s="73" t="s">
        <v>148</v>
      </c>
      <c r="D182" s="73" t="s">
        <v>1057</v>
      </c>
      <c r="E182" s="73" t="s">
        <v>356</v>
      </c>
      <c r="F182" s="42"/>
      <c r="G182" s="74"/>
    </row>
    <row r="183" customFormat="false" ht="25.15" hidden="false" customHeight="false" outlineLevel="0" collapsed="false">
      <c r="A183" s="75" t="s">
        <v>824</v>
      </c>
      <c r="B183" s="4" t="s">
        <v>29</v>
      </c>
      <c r="C183" s="4" t="s">
        <v>151</v>
      </c>
      <c r="D183" s="4" t="s">
        <v>1058</v>
      </c>
      <c r="E183" s="4" t="s">
        <v>358</v>
      </c>
      <c r="F183" s="42"/>
      <c r="G183" s="76"/>
    </row>
    <row r="184" customFormat="false" ht="25.15" hidden="false" customHeight="false" outlineLevel="0" collapsed="false">
      <c r="A184" s="75" t="s">
        <v>824</v>
      </c>
      <c r="B184" s="4" t="s">
        <v>29</v>
      </c>
      <c r="C184" s="4" t="s">
        <v>154</v>
      </c>
      <c r="D184" s="4" t="s">
        <v>1059</v>
      </c>
      <c r="E184" s="4" t="s">
        <v>360</v>
      </c>
      <c r="F184" s="42"/>
      <c r="G184" s="76"/>
    </row>
    <row r="185" customFormat="false" ht="25.15" hidden="false" customHeight="false" outlineLevel="0" collapsed="false">
      <c r="A185" s="75" t="s">
        <v>824</v>
      </c>
      <c r="B185" s="4" t="s">
        <v>29</v>
      </c>
      <c r="C185" s="4" t="s">
        <v>157</v>
      </c>
      <c r="D185" s="4" t="s">
        <v>361</v>
      </c>
      <c r="E185" s="4" t="s">
        <v>362</v>
      </c>
      <c r="F185" s="42"/>
      <c r="G185" s="76"/>
    </row>
    <row r="186" customFormat="false" ht="25.15" hidden="false" customHeight="false" outlineLevel="0" collapsed="false">
      <c r="A186" s="77" t="s">
        <v>824</v>
      </c>
      <c r="B186" s="78" t="s">
        <v>29</v>
      </c>
      <c r="C186" s="78" t="s">
        <v>160</v>
      </c>
      <c r="D186" s="78" t="s">
        <v>1060</v>
      </c>
      <c r="E186" s="78" t="s">
        <v>364</v>
      </c>
      <c r="F186" s="42"/>
      <c r="G186" s="79"/>
    </row>
    <row r="187" customFormat="false" ht="12.8" hidden="false" customHeight="false" outlineLevel="0" collapsed="false">
      <c r="A187" s="55"/>
      <c r="B187" s="56"/>
      <c r="C187" s="56"/>
      <c r="D187" s="57"/>
      <c r="E187" s="56"/>
      <c r="F187" s="56"/>
      <c r="G187" s="58"/>
    </row>
    <row r="188" customFormat="false" ht="16.75" hidden="false" customHeight="true" outlineLevel="0" collapsed="false">
      <c r="A188" s="47"/>
      <c r="B188" s="19"/>
      <c r="C188" s="48"/>
      <c r="D188" s="59" t="s">
        <v>365</v>
      </c>
      <c r="E188" s="59"/>
      <c r="F188" s="50" t="e">
        <f aca="false">AVERAGE(F182:F186)</f>
        <v>#DIV/0!</v>
      </c>
      <c r="G188" s="51"/>
    </row>
    <row r="189" s="33" customFormat="true" ht="12.8" hidden="false" customHeight="false" outlineLevel="0" collapsed="false">
      <c r="A189" s="43"/>
      <c r="B189" s="44"/>
      <c r="C189" s="44"/>
      <c r="D189" s="60"/>
      <c r="E189" s="44"/>
      <c r="F189" s="44"/>
      <c r="G189" s="46"/>
    </row>
    <row r="190" customFormat="false" ht="36.85" hidden="false" customHeight="false" outlineLevel="0" collapsed="false">
      <c r="A190" s="72" t="s">
        <v>824</v>
      </c>
      <c r="B190" s="73" t="s">
        <v>1061</v>
      </c>
      <c r="C190" s="73" t="s">
        <v>148</v>
      </c>
      <c r="D190" s="73" t="s">
        <v>1062</v>
      </c>
      <c r="E190" s="73" t="s">
        <v>1063</v>
      </c>
      <c r="F190" s="42"/>
      <c r="G190" s="74"/>
    </row>
    <row r="191" customFormat="false" ht="36.85" hidden="false" customHeight="false" outlineLevel="0" collapsed="false">
      <c r="A191" s="75" t="s">
        <v>824</v>
      </c>
      <c r="B191" s="4" t="s">
        <v>1061</v>
      </c>
      <c r="C191" s="4" t="s">
        <v>151</v>
      </c>
      <c r="D191" s="4" t="s">
        <v>1064</v>
      </c>
      <c r="E191" s="4" t="s">
        <v>1065</v>
      </c>
      <c r="F191" s="42"/>
      <c r="G191" s="76"/>
    </row>
    <row r="192" customFormat="false" ht="36.85" hidden="false" customHeight="false" outlineLevel="0" collapsed="false">
      <c r="A192" s="75" t="s">
        <v>824</v>
      </c>
      <c r="B192" s="4" t="s">
        <v>1061</v>
      </c>
      <c r="C192" s="4" t="s">
        <v>154</v>
      </c>
      <c r="D192" s="4" t="s">
        <v>1066</v>
      </c>
      <c r="E192" s="4" t="s">
        <v>1067</v>
      </c>
      <c r="F192" s="42"/>
      <c r="G192" s="76"/>
    </row>
    <row r="193" customFormat="false" ht="36.85" hidden="false" customHeight="false" outlineLevel="0" collapsed="false">
      <c r="A193" s="75" t="s">
        <v>824</v>
      </c>
      <c r="B193" s="4" t="s">
        <v>1061</v>
      </c>
      <c r="C193" s="4" t="s">
        <v>157</v>
      </c>
      <c r="D193" s="4" t="s">
        <v>398</v>
      </c>
      <c r="E193" s="4" t="s">
        <v>1068</v>
      </c>
      <c r="F193" s="42"/>
      <c r="G193" s="76"/>
    </row>
    <row r="194" customFormat="false" ht="36.85" hidden="false" customHeight="false" outlineLevel="0" collapsed="false">
      <c r="A194" s="77" t="s">
        <v>824</v>
      </c>
      <c r="B194" s="78" t="s">
        <v>1061</v>
      </c>
      <c r="C194" s="78" t="s">
        <v>160</v>
      </c>
      <c r="D194" s="78" t="s">
        <v>400</v>
      </c>
      <c r="E194" s="78" t="s">
        <v>1069</v>
      </c>
      <c r="F194" s="42"/>
      <c r="G194" s="79"/>
    </row>
    <row r="195" customFormat="false" ht="12.8" hidden="false" customHeight="false" outlineLevel="0" collapsed="false">
      <c r="A195" s="55"/>
      <c r="B195" s="56"/>
      <c r="C195" s="56"/>
      <c r="D195" s="57"/>
      <c r="E195" s="56"/>
      <c r="F195" s="56"/>
      <c r="G195" s="58"/>
    </row>
    <row r="196" customFormat="false" ht="16.75" hidden="false" customHeight="true" outlineLevel="0" collapsed="false">
      <c r="A196" s="47"/>
      <c r="B196" s="19"/>
      <c r="C196" s="48"/>
      <c r="D196" s="59" t="s">
        <v>1070</v>
      </c>
      <c r="E196" s="59"/>
      <c r="F196" s="50" t="e">
        <f aca="false">AVERAGE(F190:F194)</f>
        <v>#DIV/0!</v>
      </c>
      <c r="G196" s="51"/>
    </row>
    <row r="197" s="33" customFormat="true" ht="12.8" hidden="false" customHeight="false" outlineLevel="0" collapsed="false">
      <c r="A197" s="43"/>
      <c r="B197" s="44"/>
      <c r="C197" s="44"/>
      <c r="D197" s="60"/>
      <c r="E197" s="44"/>
      <c r="F197" s="44"/>
      <c r="G197" s="46"/>
    </row>
  </sheetData>
  <mergeCells count="25">
    <mergeCell ref="A1:G4"/>
    <mergeCell ref="D12:E12"/>
    <mergeCell ref="D20:E20"/>
    <mergeCell ref="D28:E28"/>
    <mergeCell ref="D36:E36"/>
    <mergeCell ref="D44:E44"/>
    <mergeCell ref="D52:E52"/>
    <mergeCell ref="D60:E60"/>
    <mergeCell ref="D68:E68"/>
    <mergeCell ref="D76:E76"/>
    <mergeCell ref="D84:E84"/>
    <mergeCell ref="D92:E92"/>
    <mergeCell ref="D100:E100"/>
    <mergeCell ref="D108:E108"/>
    <mergeCell ref="D116:E116"/>
    <mergeCell ref="D124:E124"/>
    <mergeCell ref="D132:E132"/>
    <mergeCell ref="D140:E140"/>
    <mergeCell ref="D148:E148"/>
    <mergeCell ref="D156:E156"/>
    <mergeCell ref="D164:E164"/>
    <mergeCell ref="D172:E172"/>
    <mergeCell ref="D180:E180"/>
    <mergeCell ref="D188:E188"/>
    <mergeCell ref="D196:E19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2855</TotalTime>
  <Application>LibreOffice/24.8.2.1$MacOSX_X86_64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2026-05-08T21:09:12Z</dcterms:created>
  <dc:creator/>
  <dc:description/>
  <dc:language>en-CA</dc:language>
  <cp:lastModifiedBy/>
  <dcterms:modified xsi:type="dcterms:W3CDTF">2026-05-12T00:21:59Z</dcterms:modified>
  <cp:revision>42</cp:revision>
  <dc:subject/>
  <dc:title/>
</cp:coreProperties>
</file>

<file path=docProps/custom.xml><?xml version="1.0" encoding="utf-8"?>
<Properties xmlns="http://schemas.openxmlformats.org/officeDocument/2006/custom-properties" xmlns:vt="http://schemas.openxmlformats.org/officeDocument/2006/docPropsVTypes"/>
</file>